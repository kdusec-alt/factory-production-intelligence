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9ec85bcd1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ily" sheetId="1" r:id="Rb999fcf3f0504005"/>
    <x:sheet xmlns:r="http://schemas.openxmlformats.org/officeDocument/2006/relationships" name="Model_Data" sheetId="2" r:id="R668eef8bd34a4283"/>
    <x:sheet xmlns:r="http://schemas.openxmlformats.org/officeDocument/2006/relationships" name="Quality_Issues" sheetId="3" r:id="R7396008d47114b1c"/>
    <x:sheet xmlns:r="http://schemas.openxmlformats.org/officeDocument/2006/relationships" name="So_sanh" sheetId="4" r:id="R6cbf1f391ce34916"/>
    <x:sheet xmlns:r="http://schemas.openxmlformats.org/officeDocument/2006/relationships" name="Huong_dan" sheetId="5" r:id="R751d34eb7bd1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3468A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9a1c19e5f4496" /><Relationship Type="http://schemas.openxmlformats.org/officeDocument/2006/relationships/theme" Target="/xl/theme/theme1.xml" Id="Ra48b818f37c2405b" /><Relationship Type="http://schemas.openxmlformats.org/officeDocument/2006/relationships/sharedStrings" Target="/xl/sharedStrings.xml" Id="Rf35bacd16dbb46f1" /><Relationship Type="http://schemas.openxmlformats.org/officeDocument/2006/relationships/worksheet" Target="/xl/worksheets/sheet1.xml" Id="Rb999fcf3f0504005" /><Relationship Type="http://schemas.openxmlformats.org/officeDocument/2006/relationships/worksheet" Target="/xl/worksheets/sheet2.xml" Id="R668eef8bd34a4283" /><Relationship Type="http://schemas.openxmlformats.org/officeDocument/2006/relationships/worksheet" Target="/xl/worksheets/sheet3.xml" Id="R7396008d47114b1c" /><Relationship Type="http://schemas.openxmlformats.org/officeDocument/2006/relationships/worksheet" Target="/xl/worksheets/sheet4.xml" Id="R6cbf1f391ce34916" /><Relationship Type="http://schemas.openxmlformats.org/officeDocument/2006/relationships/worksheet" Target="/xl/worksheets/sheet5.xml" Id="R751d34eb7bd1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24" hidden="0" customWidth="1"/>
    <x:col min="1" max="1" width="14" hidden="0" customWidth="1"/>
  </x:cols>
  <x:sheetData>
    <x:row r="1" ht="37" customHeight="1">
      <x:c r="A1" s="9" t="str">
        <x:v>Ngày</x:v>
      </x:c>
      <x:c r="B1" s="9" t="str">
        <x:v>GCĐ Tổng SL (đôi)</x:v>
      </x:c>
      <x:c r="C1" s="9" t="str">
        <x:v>GCĐ HC 8H</x:v>
      </x:c>
      <x:c r="D1" s="9" t="str">
        <x:v>GCĐ SL OT</x:v>
      </x:c>
      <x:c r="E1" s="9" t="str">
        <x:v>GCĐ HC OT</x:v>
      </x:c>
      <x:c r="F1" s="9" t="str">
        <x:v>Giờ làm chính GCĐ</x:v>
      </x:c>
      <x:c r="G1" s="9" t="str">
        <x:v>TH Tổng SL (đôi)</x:v>
      </x:c>
      <x:c r="H1" s="9" t="str">
        <x:v>TH HC 8H</x:v>
      </x:c>
      <x:c r="I1" s="9" t="str">
        <x:v>TH SL OT</x:v>
      </x:c>
      <x:c r="J1" s="9" t="str">
        <x:v>TH HC OT</x:v>
      </x:c>
      <x:c r="K1" s="9" t="str">
        <x:v>Giờ làm chính TH</x:v>
      </x:c>
      <x:c r="L1" s="9" t="str">
        <x:v>Giờ OT</x:v>
      </x:c>
      <x:c r="M1" s="9" t="str">
        <x:v>GCĐ SL 8H</x:v>
      </x:c>
      <x:c r="N1" s="9" t="str">
        <x:v>GCĐ Giờ công</x:v>
      </x:c>
      <x:c r="O1" s="9" t="str">
        <x:v>GCĐ Đôi/giờ công</x:v>
      </x:c>
      <x:c r="P1" s="9" t="str">
        <x:v>TH SL 8H</x:v>
      </x:c>
      <x:c r="Q1" s="9" t="str">
        <x:v>TH Giờ công</x:v>
      </x:c>
      <x:c r="R1" s="9" t="str">
        <x:v>TH Đôi/giờ công</x:v>
      </x:c>
      <x:c r="S1" s="9" t="str">
        <x:v>Ghi chú kiểm tra OT</x:v>
      </x:c>
    </x:row>
    <x:row r="2" ht="21" customHeight="1">
      <x:c r="A2" s="2" t="n">
        <x:v>46265</x:v>
      </x:c>
      <x:c r="B2" t="n">
        <x:v>253</x:v>
      </x:c>
      <x:c r="C2" t="n">
        <x:v>43</x:v>
      </x:c>
      <x:c r="D2" t="n">
        <x:v>22</x:v>
      </x:c>
      <x:c r="E2" t="n">
        <x:v>34</x:v>
      </x:c>
      <x:c r="F2" t="n">
        <x:v>8</x:v>
      </x:c>
      <x:c r="G2" t="n">
        <x:v>309</x:v>
      </x:c>
      <x:c r="H2" t="n">
        <x:v>78</x:v>
      </x:c>
      <x:c r="I2" t="n">
        <x:v>39</x:v>
      </x:c>
      <x:c r="J2" t="n">
        <x:v>57</x:v>
      </x:c>
      <x:c r="K2" t="n">
        <x:v>8</x:v>
      </x:c>
      <x:c r="L2" t="n">
        <x:v>1</x:v>
      </x:c>
      <x:c r="M2" t="n">
        <x:f>B2-D2</x:f>
        <x:v>231</x:v>
      </x:c>
      <x:c r="N2" t="n">
        <x:f>C2*F2</x:f>
        <x:v>344</x:v>
      </x:c>
      <x:c r="O2" s="4" t="n">
        <x:f>IFERROR(M2/N2,0)</x:f>
        <x:v>0.6715116279069767</x:v>
      </x:c>
      <x:c r="P2" t="n">
        <x:f>G2-I2</x:f>
        <x:v>270</x:v>
      </x:c>
      <x:c r="Q2" t="n">
        <x:f>H2*K2</x:f>
        <x:v>624</x:v>
      </x:c>
      <x:c r="R2" s="4" t="n">
        <x:f>IFERROR(P2/Q2,0)</x:f>
        <x:v>0.4326923076923077</x:v>
      </x:c>
      <x:c r="S2" s="14" t="str">
        <x:f>IF(AND(D2=0,I2=0,E2="",J2=""),"Cần xác nhận OT","")</x:f>
      </x:c>
    </x:row>
    <x:row r="3" ht="21" customHeight="1">
      <x:c r="A3" s="2" t="n">
        <x:v>46268</x:v>
      </x:c>
      <x:c r="B3" t="n">
        <x:v>172</x:v>
      </x:c>
      <x:c r="C3" t="n">
        <x:v>45</x:v>
      </x:c>
      <x:c r="D3" t="n">
        <x:v>37</x:v>
      </x:c>
      <x:c r="E3" t="n">
        <x:v>36</x:v>
      </x:c>
      <x:c r="F3" t="n">
        <x:v>8</x:v>
      </x:c>
      <x:c r="G3" t="n">
        <x:v>435</x:v>
      </x:c>
      <x:c r="H3" t="n">
        <x:v>81</x:v>
      </x:c>
      <x:c r="I3" t="n">
        <x:v>33</x:v>
      </x:c>
      <x:c r="J3" t="n">
        <x:v>61</x:v>
      </x:c>
      <x:c r="K3" t="n">
        <x:v>8</x:v>
      </x:c>
      <x:c r="L3" t="n">
        <x:v>1</x:v>
      </x:c>
      <x:c r="M3" t="n">
        <x:f>B3-D3</x:f>
        <x:v>135</x:v>
      </x:c>
      <x:c r="N3" t="n">
        <x:f>C3*F3</x:f>
        <x:v>360</x:v>
      </x:c>
      <x:c r="O3" s="4" t="n">
        <x:f>IFERROR(M3/N3,0)</x:f>
        <x:v>0.375</x:v>
      </x:c>
      <x:c r="P3" t="n">
        <x:f>G3-I3</x:f>
        <x:v>402</x:v>
      </x:c>
      <x:c r="Q3" t="n">
        <x:f>H3*K3</x:f>
        <x:v>648</x:v>
      </x:c>
      <x:c r="R3" s="4" t="n">
        <x:f>IFERROR(P3/Q3,0)</x:f>
        <x:v>0.6203703703703703</x:v>
      </x:c>
      <x:c r="S3" s="14" t="str">
        <x:f>IF(AND(D3=0,I3=0,E3="",J3=""),"Cần xác nhận OT","")</x:f>
      </x:c>
    </x:row>
    <x:row r="4" ht="21" customHeight="1">
      <x:c r="A4" s="2" t="n">
        <x:v>46269</x:v>
      </x:c>
      <x:c r="B4" t="n">
        <x:v>260</x:v>
      </x:c>
      <x:c r="C4" t="n">
        <x:v>45</x:v>
      </x:c>
      <x:c r="D4" t="n">
        <x:v>22</x:v>
      </x:c>
      <x:c r="E4" t="n">
        <x:v>36</x:v>
      </x:c>
      <x:c r="F4" t="n">
        <x:v>8</x:v>
      </x:c>
      <x:c r="G4" t="n">
        <x:v>306</x:v>
      </x:c>
      <x:c r="H4" t="n">
        <x:v>88</x:v>
      </x:c>
      <x:c r="I4" t="n">
        <x:v>41</x:v>
      </x:c>
      <x:c r="J4" t="n">
        <x:v>63</x:v>
      </x:c>
      <x:c r="K4" t="n">
        <x:v>8</x:v>
      </x:c>
      <x:c r="L4" t="n">
        <x:v>1</x:v>
      </x:c>
      <x:c r="M4" t="n">
        <x:f>B4-D4</x:f>
        <x:v>238</x:v>
      </x:c>
      <x:c r="N4" t="n">
        <x:f>C4*F4</x:f>
        <x:v>360</x:v>
      </x:c>
      <x:c r="O4" s="4" t="n">
        <x:f>IFERROR(M4/N4,0)</x:f>
        <x:v>0.6611111111111111</x:v>
      </x:c>
      <x:c r="P4" t="n">
        <x:f>G4-I4</x:f>
        <x:v>265</x:v>
      </x:c>
      <x:c r="Q4" t="n">
        <x:f>H4*K4</x:f>
        <x:v>704</x:v>
      </x:c>
      <x:c r="R4" s="4" t="n">
        <x:f>IFERROR(P4/Q4,0)</x:f>
        <x:v>0.37642045454545453</x:v>
      </x:c>
      <x:c r="S4" s="14" t="str">
        <x:f>IF(AND(D4=0,I4=0,E4="",J4=""),"Cần xác nhận OT","")</x:f>
      </x:c>
    </x:row>
    <x:row r="5" ht="21" customHeight="1">
      <x:c r="A5" s="2" t="n">
        <x:v>46270</x:v>
      </x:c>
      <x:c r="B5" t="n">
        <x:v>431</x:v>
      </x:c>
      <x:c r="C5" t="n">
        <x:v>44</x:v>
      </x:c>
      <x:c r="D5" t="n">
        <x:v>60</x:v>
      </x:c>
      <x:c r="E5" t="n">
        <x:v>35</x:v>
      </x:c>
      <x:c r="F5" t="n">
        <x:v>8</x:v>
      </x:c>
      <x:c r="G5" t="n">
        <x:v>329</x:v>
      </x:c>
      <x:c r="H5" t="n">
        <x:v>84</x:v>
      </x:c>
      <x:c r="I5" t="n">
        <x:v>34</x:v>
      </x:c>
      <x:c r="J5" t="n">
        <x:v>65</x:v>
      </x:c>
      <x:c r="K5" t="n">
        <x:v>8</x:v>
      </x:c>
      <x:c r="L5" t="n">
        <x:v>1</x:v>
      </x:c>
      <x:c r="M5" t="n">
        <x:f>B5-D5</x:f>
        <x:v>371</x:v>
      </x:c>
      <x:c r="N5" t="n">
        <x:f>C5*F5</x:f>
        <x:v>352</x:v>
      </x:c>
      <x:c r="O5" s="4" t="n">
        <x:f>IFERROR(M5/N5,0)</x:f>
        <x:v>1.0539772727272727</x:v>
      </x:c>
      <x:c r="P5" t="n">
        <x:f>G5-I5</x:f>
        <x:v>295</x:v>
      </x:c>
      <x:c r="Q5" t="n">
        <x:f>H5*K5</x:f>
        <x:v>672</x:v>
      </x:c>
      <x:c r="R5" s="4" t="n">
        <x:f>IFERROR(P5/Q5,0)</x:f>
        <x:v>0.43898809523809523</x:v>
      </x:c>
      <x:c r="S5" s="14" t="str">
        <x:f>IF(AND(D5=0,I5=0,E5="",J5=""),"Cần xác nhận OT","")</x:f>
      </x:c>
    </x:row>
    <x:row r="6" ht="21" customHeight="1">
      <x:c r="A6" s="2" t="n">
        <x:v>46272</x:v>
      </x:c>
      <x:c r="B6" t="n">
        <x:v>299</x:v>
      </x:c>
      <x:c r="C6" t="n">
        <x:v>46</x:v>
      </x:c>
      <x:c r="D6" t="n">
        <x:v>20</x:v>
      </x:c>
      <x:c r="E6" t="n">
        <x:v>38</x:v>
      </x:c>
      <x:c r="F6" t="n">
        <x:v>8</x:v>
      </x:c>
      <x:c r="G6" t="n">
        <x:v>416</x:v>
      </x:c>
      <x:c r="H6" t="n">
        <x:v>80</x:v>
      </x:c>
      <x:c r="I6" t="n">
        <x:v>35</x:v>
      </x:c>
      <x:c r="J6" t="n">
        <x:v>67</x:v>
      </x:c>
      <x:c r="K6" t="n">
        <x:v>8</x:v>
      </x:c>
      <x:c r="L6" t="n">
        <x:v>1</x:v>
      </x:c>
      <x:c r="M6" t="n">
        <x:f>B6-D6</x:f>
        <x:v>279</x:v>
      </x:c>
      <x:c r="N6" t="n">
        <x:f>C6*F6</x:f>
        <x:v>368</x:v>
      </x:c>
      <x:c r="O6" s="4" t="n">
        <x:f>IFERROR(M6/N6,0)</x:f>
        <x:v>0.7581521739130435</x:v>
      </x:c>
      <x:c r="P6" t="n">
        <x:f>G6-I6</x:f>
        <x:v>381</x:v>
      </x:c>
      <x:c r="Q6" t="n">
        <x:f>H6*K6</x:f>
        <x:v>640</x:v>
      </x:c>
      <x:c r="R6" s="4" t="n">
        <x:f>IFERROR(P6/Q6,0)</x:f>
        <x:v>0.5953125</x:v>
      </x:c>
      <x:c r="S6" s="14" t="str">
        <x:f>IF(AND(D6=0,I6=0,E6="",J6=""),"Cần xác nhận OT","")</x:f>
      </x:c>
    </x:row>
    <x:row r="7" ht="21" customHeight="1">
      <x:c r="A7" s="2" t="n">
        <x:v>46273</x:v>
      </x:c>
      <x:c r="B7" t="n">
        <x:v>210</x:v>
      </x:c>
      <x:c r="C7" t="n">
        <x:v>56</x:v>
      </x:c>
      <x:c r="D7" t="n">
        <x:v>33</x:v>
      </x:c>
      <x:c r="E7" t="n">
        <x:v>41</x:v>
      </x:c>
      <x:c r="F7" t="n">
        <x:v>8</x:v>
      </x:c>
      <x:c r="G7" t="n">
        <x:v>370</x:v>
      </x:c>
      <x:c r="H7" t="n">
        <x:v>84</x:v>
      </x:c>
      <x:c r="I7" t="n">
        <x:v>35</x:v>
      </x:c>
      <x:c r="J7" t="n">
        <x:v>63</x:v>
      </x:c>
      <x:c r="K7" t="n">
        <x:v>8</x:v>
      </x:c>
      <x:c r="L7" t="n">
        <x:v>1</x:v>
      </x:c>
      <x:c r="M7" t="n">
        <x:f>B7-D7</x:f>
        <x:v>177</x:v>
      </x:c>
      <x:c r="N7" t="n">
        <x:f>C7*F7</x:f>
        <x:v>448</x:v>
      </x:c>
      <x:c r="O7" s="4" t="n">
        <x:f>IFERROR(M7/N7,0)</x:f>
        <x:v>0.3950892857142857</x:v>
      </x:c>
      <x:c r="P7" t="n">
        <x:f>G7-I7</x:f>
        <x:v>335</x:v>
      </x:c>
      <x:c r="Q7" t="n">
        <x:f>H7*K7</x:f>
        <x:v>672</x:v>
      </x:c>
      <x:c r="R7" s="4" t="n">
        <x:f>IFERROR(P7/Q7,0)</x:f>
        <x:v>0.49851190476190477</x:v>
      </x:c>
      <x:c r="S7" s="14" t="str">
        <x:f>IF(AND(D7=0,I7=0,E7="",J7=""),"Cần xác nhận OT","")</x:f>
      </x:c>
    </x:row>
    <x:row r="8" ht="21" customHeight="1">
      <x:c r="A8" s="2" t="n">
        <x:v>46274</x:v>
      </x:c>
      <x:c r="B8" t="n">
        <x:v>330</x:v>
      </x:c>
      <x:c r="C8" t="n">
        <x:v>55</x:v>
      </x:c>
      <x:c r="D8" t="n">
        <x:v>33</x:v>
      </x:c>
      <x:c r="E8" t="n">
        <x:v>42</x:v>
      </x:c>
      <x:c r="F8" t="n">
        <x:v>8</x:v>
      </x:c>
      <x:c r="G8" t="n">
        <x:v>328</x:v>
      </x:c>
      <x:c r="H8" t="n">
        <x:v>83</x:v>
      </x:c>
      <x:c r="I8" t="n">
        <x:v>41</x:v>
      </x:c>
      <x:c r="J8" t="n">
        <x:v>64</x:v>
      </x:c>
      <x:c r="K8" t="n">
        <x:v>8</x:v>
      </x:c>
      <x:c r="L8" t="n">
        <x:v>1</x:v>
      </x:c>
      <x:c r="M8" t="n">
        <x:f>B8-D8</x:f>
        <x:v>297</x:v>
      </x:c>
      <x:c r="N8" t="n">
        <x:f>C8*F8</x:f>
        <x:v>440</x:v>
      </x:c>
      <x:c r="O8" s="4" t="n">
        <x:f>IFERROR(M8/N8,0)</x:f>
        <x:v>0.675</x:v>
      </x:c>
      <x:c r="P8" t="n">
        <x:f>G8-I8</x:f>
        <x:v>287</x:v>
      </x:c>
      <x:c r="Q8" t="n">
        <x:f>H8*K8</x:f>
        <x:v>664</x:v>
      </x:c>
      <x:c r="R8" s="4" t="n">
        <x:f>IFERROR(P8/Q8,0)</x:f>
        <x:v>0.4322289156626506</x:v>
      </x:c>
      <x:c r="S8" s="14" t="str">
        <x:f>IF(AND(D8=0,I8=0,E8="",J8=""),"Cần xác nhận OT","")</x:f>
      </x:c>
    </x:row>
    <x:row r="9" ht="21" customHeight="1">
      <x:c r="A9" s="2" t="n">
        <x:v>46275</x:v>
      </x:c>
      <x:c r="B9" t="n">
        <x:v>349</x:v>
      </x:c>
      <x:c r="C9" t="n">
        <x:v>54</x:v>
      </x:c>
      <x:c r="D9" t="n">
        <x:v>75</x:v>
      </x:c>
      <x:c r="E9" t="n">
        <x:v>41</x:v>
      </x:c>
      <x:c r="F9" t="n">
        <x:v>8</x:v>
      </x:c>
      <x:c r="G9" t="n">
        <x:v>348</x:v>
      </x:c>
      <x:c r="H9" t="n">
        <x:v>80</x:v>
      </x:c>
      <x:c r="I9" t="n">
        <x:v>27</x:v>
      </x:c>
      <x:c r="J9" t="n">
        <x:v>63</x:v>
      </x:c>
      <x:c r="K9" t="n">
        <x:v>8</x:v>
      </x:c>
      <x:c r="L9" t="n">
        <x:v>1</x:v>
      </x:c>
      <x:c r="M9" t="n">
        <x:f>B9-D9</x:f>
        <x:v>274</x:v>
      </x:c>
      <x:c r="N9" t="n">
        <x:f>C9*F9</x:f>
        <x:v>432</x:v>
      </x:c>
      <x:c r="O9" s="4" t="n">
        <x:f>IFERROR(M9/N9,0)</x:f>
        <x:v>0.6342592592592593</x:v>
      </x:c>
      <x:c r="P9" t="n">
        <x:f>G9-I9</x:f>
        <x:v>321</x:v>
      </x:c>
      <x:c r="Q9" t="n">
        <x:f>H9*K9</x:f>
        <x:v>640</x:v>
      </x:c>
      <x:c r="R9" s="4" t="n">
        <x:f>IFERROR(P9/Q9,0)</x:f>
        <x:v>0.5015625</x:v>
      </x:c>
      <x:c r="S9" s="14" t="str">
        <x:f>IF(AND(D9=0,I9=0,E9="",J9=""),"Cần xác nhận OT","")</x:f>
      </x:c>
    </x:row>
    <x:row r="10" ht="21" customHeight="1">
      <x:c r="A10" s="2" t="n">
        <x:v>46276</x:v>
      </x:c>
      <x:c r="B10" t="n">
        <x:v>395</x:v>
      </x:c>
      <x:c r="C10" t="n">
        <x:v>55</x:v>
      </x:c>
      <x:c r="D10" t="n">
        <x:v>61</x:v>
      </x:c>
      <x:c r="E10" t="n">
        <x:v>41</x:v>
      </x:c>
      <x:c r="F10" t="n">
        <x:v>8</x:v>
      </x:c>
      <x:c r="G10" t="n">
        <x:v>373</x:v>
      </x:c>
      <x:c r="H10" t="n">
        <x:v>81</x:v>
      </x:c>
      <x:c r="I10" t="n">
        <x:v>29</x:v>
      </x:c>
      <x:c r="J10" t="n">
        <x:v>62</x:v>
      </x:c>
      <x:c r="K10" t="n">
        <x:v>8</x:v>
      </x:c>
      <x:c r="L10" t="n">
        <x:v>1</x:v>
      </x:c>
      <x:c r="M10" t="n">
        <x:f>B10-D10</x:f>
        <x:v>334</x:v>
      </x:c>
      <x:c r="N10" t="n">
        <x:f>C10*F10</x:f>
        <x:v>440</x:v>
      </x:c>
      <x:c r="O10" s="4" t="n">
        <x:f>IFERROR(M10/N10,0)</x:f>
        <x:v>0.759090909090909</x:v>
      </x:c>
      <x:c r="P10" t="n">
        <x:f>G10-I10</x:f>
        <x:v>344</x:v>
      </x:c>
      <x:c r="Q10" t="n">
        <x:f>H10*K10</x:f>
        <x:v>648</x:v>
      </x:c>
      <x:c r="R10" s="4" t="n">
        <x:f>IFERROR(P10/Q10,0)</x:f>
        <x:v>0.5308641975308642</x:v>
      </x:c>
      <x:c r="S10" s="14" t="str">
        <x:f>IF(AND(D10=0,I10=0,E10="",J10=""),"Cần xác nhận OT","")</x:f>
      </x:c>
    </x:row>
    <x:row r="11" ht="21" customHeight="1">
      <x:c r="A11" s="2" t="n">
        <x:v>46277</x:v>
      </x:c>
      <x:c r="B11" t="n">
        <x:v>363</x:v>
      </x:c>
      <x:c r="C11" t="n">
        <x:v>54</x:v>
      </x:c>
      <x:c r="D11" t="n">
        <x:v>38</x:v>
      </x:c>
      <x:c r="E11" t="n">
        <x:v>37</x:v>
      </x:c>
      <x:c r="F11" t="n">
        <x:v>8</x:v>
      </x:c>
      <x:c r="G11" t="n">
        <x:v>401</x:v>
      </x:c>
      <x:c r="H11" t="n">
        <x:v>82</x:v>
      </x:c>
      <x:c r="I11" t="n">
        <x:v>42</x:v>
      </x:c>
      <x:c r="J11" t="n">
        <x:v>63</x:v>
      </x:c>
      <x:c r="K11" t="n">
        <x:v>8</x:v>
      </x:c>
      <x:c r="L11" t="n">
        <x:v>1</x:v>
      </x:c>
      <x:c r="M11" t="n">
        <x:f>B11-D11</x:f>
        <x:v>325</x:v>
      </x:c>
      <x:c r="N11" t="n">
        <x:f>C11*F11</x:f>
        <x:v>432</x:v>
      </x:c>
      <x:c r="O11" s="4" t="n">
        <x:f>IFERROR(M11/N11,0)</x:f>
        <x:v>0.7523148148148148</x:v>
      </x:c>
      <x:c r="P11" t="n">
        <x:f>G11-I11</x:f>
        <x:v>359</x:v>
      </x:c>
      <x:c r="Q11" t="n">
        <x:f>H11*K11</x:f>
        <x:v>656</x:v>
      </x:c>
      <x:c r="R11" s="4" t="n">
        <x:f>IFERROR(P11/Q11,0)</x:f>
        <x:v>0.5472560975609756</x:v>
      </x:c>
      <x:c r="S11" s="14" t="str">
        <x:f>IF(AND(D11=0,I11=0,E11="",J11=""),"Cần xác nhận OT","")</x:f>
      </x:c>
    </x:row>
    <x:row r="12" ht="21" customHeight="1">
      <x:c r="A12" s="2" t="n">
        <x:v>46279</x:v>
      </x:c>
      <x:c r="B12" t="n">
        <x:v>376</x:v>
      </x:c>
      <x:c r="C12" t="n">
        <x:v>56</x:v>
      </x:c>
      <x:c r="D12" t="n">
        <x:v>87</x:v>
      </x:c>
      <x:c r="E12" t="n">
        <x:v>39</x:v>
      </x:c>
      <x:c r="F12" t="n">
        <x:v>8</x:v>
      </x:c>
      <x:c r="G12" t="n">
        <x:v>466</x:v>
      </x:c>
      <x:c r="H12" t="n">
        <x:v>76</x:v>
      </x:c>
      <x:c r="I12" t="n">
        <x:v>74</x:v>
      </x:c>
      <x:c r="J12" t="n">
        <x:v>59</x:v>
      </x:c>
      <x:c r="K12" t="n">
        <x:v>8</x:v>
      </x:c>
      <x:c r="L12" t="n">
        <x:v>1</x:v>
      </x:c>
      <x:c r="M12" t="n">
        <x:f>B12-D12</x:f>
        <x:v>289</x:v>
      </x:c>
      <x:c r="N12" t="n">
        <x:f>C12*F12</x:f>
        <x:v>448</x:v>
      </x:c>
      <x:c r="O12" s="4" t="n">
        <x:f>IFERROR(M12/N12,0)</x:f>
        <x:v>0.6450892857142857</x:v>
      </x:c>
      <x:c r="P12" t="n">
        <x:f>G12-I12</x:f>
        <x:v>392</x:v>
      </x:c>
      <x:c r="Q12" t="n">
        <x:f>H12*K12</x:f>
        <x:v>608</x:v>
      </x:c>
      <x:c r="R12" s="4" t="n">
        <x:f>IFERROR(P12/Q12,0)</x:f>
        <x:v>0.6447368421052632</x:v>
      </x:c>
      <x:c r="S12" s="14" t="str">
        <x:f>IF(AND(D12=0,I12=0,E12="",J12=""),"Cần xác nhận OT","")</x:f>
      </x:c>
    </x:row>
    <x:row r="13" ht="21" customHeight="1">
      <x:c r="A13" s="2" t="n">
        <x:v>46280</x:v>
      </x:c>
      <x:c r="B13" t="n">
        <x:v>407</x:v>
      </x:c>
      <x:c r="C13" t="n">
        <x:v>56</x:v>
      </x:c>
      <x:c r="D13" t="n">
        <x:v>54</x:v>
      </x:c>
      <x:c r="E13" t="n">
        <x:v>42</x:v>
      </x:c>
      <x:c r="F13" t="n">
        <x:v>8</x:v>
      </x:c>
      <x:c r="G13" t="n">
        <x:v>302</x:v>
      </x:c>
      <x:c r="H13" t="n">
        <x:v>80</x:v>
      </x:c>
      <x:c r="I13" t="n">
        <x:v>14</x:v>
      </x:c>
      <x:c r="J13" t="n">
        <x:v>58</x:v>
      </x:c>
      <x:c r="K13" t="n">
        <x:v>8</x:v>
      </x:c>
      <x:c r="L13" t="n">
        <x:v>1</x:v>
      </x:c>
      <x:c r="M13" t="n">
        <x:f>B13-D13</x:f>
        <x:v>353</x:v>
      </x:c>
      <x:c r="N13" t="n">
        <x:f>C13*F13</x:f>
        <x:v>448</x:v>
      </x:c>
      <x:c r="O13" s="4" t="n">
        <x:f>IFERROR(M13/N13,0)</x:f>
        <x:v>0.7879464285714286</x:v>
      </x:c>
      <x:c r="P13" t="n">
        <x:f>G13-I13</x:f>
        <x:v>288</x:v>
      </x:c>
      <x:c r="Q13" t="n">
        <x:f>H13*K13</x:f>
        <x:v>640</x:v>
      </x:c>
      <x:c r="R13" s="4" t="n">
        <x:f>IFERROR(P13/Q13,0)</x:f>
        <x:v>0.45</x:v>
      </x:c>
      <x:c r="S13" s="14" t="str">
        <x:f>IF(AND(D13=0,I13=0,E13="",J13=""),"Cần xác nhận OT","")</x:f>
      </x:c>
    </x:row>
    <x:row r="14" ht="21" customHeight="1">
      <x:c r="A14" s="2" t="n">
        <x:v>46281</x:v>
      </x:c>
      <x:c r="B14" t="n">
        <x:v>444</x:v>
      </x:c>
      <x:c r="C14" t="n">
        <x:v>53</x:v>
      </x:c>
      <x:c r="D14" t="n">
        <x:v>64</x:v>
      </x:c>
      <x:c r="E14" t="n">
        <x:v>40</x:v>
      </x:c>
      <x:c r="F14" t="n">
        <x:v>8</x:v>
      </x:c>
      <x:c r="G14" t="n">
        <x:v>487</x:v>
      </x:c>
      <x:c r="H14" t="n">
        <x:v>76</x:v>
      </x:c>
      <x:c r="I14" t="n">
        <x:v>48</x:v>
      </x:c>
      <x:c r="J14" t="n">
        <x:v>58</x:v>
      </x:c>
      <x:c r="K14" t="n">
        <x:v>8</x:v>
      </x:c>
      <x:c r="L14" t="n">
        <x:v>1</x:v>
      </x:c>
      <x:c r="M14" t="n">
        <x:f>B14-D14</x:f>
        <x:v>380</x:v>
      </x:c>
      <x:c r="N14" t="n">
        <x:f>C14*F14</x:f>
        <x:v>424</x:v>
      </x:c>
      <x:c r="O14" s="4" t="n">
        <x:f>IFERROR(M14/N14,0)</x:f>
        <x:v>0.8962264150943396</x:v>
      </x:c>
      <x:c r="P14" t="n">
        <x:f>G14-I14</x:f>
        <x:v>439</x:v>
      </x:c>
      <x:c r="Q14" t="n">
        <x:f>H14*K14</x:f>
        <x:v>608</x:v>
      </x:c>
      <x:c r="R14" s="4" t="n">
        <x:f>IFERROR(P14/Q14,0)</x:f>
        <x:v>0.7220394736842105</x:v>
      </x:c>
      <x:c r="S14" s="14" t="str">
        <x:f>IF(AND(D14=0,I14=0,E14="",J14=""),"Cần xác nhận OT","")</x:f>
      </x:c>
    </x:row>
    <x:row r="15" ht="21" customHeight="1">
      <x:c r="A15" s="2" t="n">
        <x:v>46282</x:v>
      </x:c>
      <x:c r="B15" t="n">
        <x:v>397</x:v>
      </x:c>
      <x:c r="C15" t="n">
        <x:v>55</x:v>
      </x:c>
      <x:c r="D15" t="n">
        <x:v>112</x:v>
      </x:c>
      <x:c r="E15" t="n">
        <x:v>41</x:v>
      </x:c>
      <x:c r="F15" t="n">
        <x:v>8</x:v>
      </x:c>
      <x:c r="G15" t="n">
        <x:v>416</x:v>
      </x:c>
      <x:c r="H15" t="n">
        <x:v>80</x:v>
      </x:c>
      <x:c r="I15" t="n">
        <x:v>49</x:v>
      </x:c>
      <x:c r="J15" t="n">
        <x:v>50</x:v>
      </x:c>
      <x:c r="K15" t="n">
        <x:v>8</x:v>
      </x:c>
      <x:c r="L15" t="n">
        <x:v>1.5</x:v>
      </x:c>
      <x:c r="M15" t="n">
        <x:f>B15-D15</x:f>
        <x:v>285</x:v>
      </x:c>
      <x:c r="N15" t="n">
        <x:f>C15*F15</x:f>
        <x:v>440</x:v>
      </x:c>
      <x:c r="O15" s="4" t="n">
        <x:f>IFERROR(M15/N15,0)</x:f>
        <x:v>0.6477272727272727</x:v>
      </x:c>
      <x:c r="P15" t="n">
        <x:f>G15-I15</x:f>
        <x:v>367</x:v>
      </x:c>
      <x:c r="Q15" t="n">
        <x:f>H15*K15</x:f>
        <x:v>640</x:v>
      </x:c>
      <x:c r="R15" s="4" t="n">
        <x:f>IFERROR(P15/Q15,0)</x:f>
        <x:v>0.5734375</x:v>
      </x:c>
      <x:c r="S15" s="14" t="str">
        <x:f>IF(AND(D15=0,I15=0,E15="",J15=""),"Cần xác nhận OT","")</x:f>
      </x:c>
    </x:row>
    <x:row r="16" ht="21" customHeight="1">
      <x:c r="A16" s="2" t="n">
        <x:v>46283</x:v>
      </x:c>
      <x:c r="B16" t="n">
        <x:v>430</x:v>
      </x:c>
      <x:c r="C16" t="n">
        <x:v>56</x:v>
      </x:c>
      <x:c r="D16" t="n">
        <x:v>139</x:v>
      </x:c>
      <x:c r="E16" t="n">
        <x:v>39</x:v>
      </x:c>
      <x:c r="F16" t="n">
        <x:v>8</x:v>
      </x:c>
      <x:c r="G16" t="n">
        <x:v>500</x:v>
      </x:c>
      <x:c r="H16" t="n">
        <x:v>78</x:v>
      </x:c>
      <x:c r="I16" t="n">
        <x:v>41</x:v>
      </x:c>
      <x:c r="J16" t="n">
        <x:v>47</x:v>
      </x:c>
      <x:c r="K16" t="n">
        <x:v>8</x:v>
      </x:c>
      <x:c r="L16" t="n">
        <x:v>1.5</x:v>
      </x:c>
      <x:c r="M16" t="n">
        <x:f>B16-D16</x:f>
        <x:v>291</x:v>
      </x:c>
      <x:c r="N16" t="n">
        <x:f>C16*F16</x:f>
        <x:v>448</x:v>
      </x:c>
      <x:c r="O16" s="4" t="n">
        <x:f>IFERROR(M16/N16,0)</x:f>
        <x:v>0.6495535714285714</x:v>
      </x:c>
      <x:c r="P16" t="n">
        <x:f>G16-I16</x:f>
        <x:v>459</x:v>
      </x:c>
      <x:c r="Q16" t="n">
        <x:f>H16*K16</x:f>
        <x:v>624</x:v>
      </x:c>
      <x:c r="R16" s="4" t="n">
        <x:f>IFERROR(P16/Q16,0)</x:f>
        <x:v>0.7355769230769231</x:v>
      </x:c>
      <x:c r="S16" s="14" t="str">
        <x:f>IF(AND(D16=0,I16=0,E16="",J16=""),"Cần xác nhận OT","")</x:f>
      </x:c>
    </x:row>
    <x:row r="17" ht="21" customHeight="1">
      <x:c r="A17" s="2" t="n">
        <x:v>46284</x:v>
      </x:c>
      <x:c r="B17" t="n">
        <x:v>404</x:v>
      </x:c>
      <x:c r="C17" t="n">
        <x:v>54</x:v>
      </x:c>
      <x:c r="D17" t="n">
        <x:v>129</x:v>
      </x:c>
      <x:c r="E17" t="n">
        <x:v>37</x:v>
      </x:c>
      <x:c r="F17" t="n">
        <x:v>8</x:v>
      </x:c>
      <x:c r="G17" t="n">
        <x:v>354</x:v>
      </x:c>
      <x:c r="H17" t="n">
        <x:v>76</x:v>
      </x:c>
      <x:c r="I17" t="n">
        <x:v>78</x:v>
      </x:c>
      <x:c r="J17" t="n">
        <x:v>48</x:v>
      </x:c>
      <x:c r="K17" t="n">
        <x:v>8</x:v>
      </x:c>
      <x:c r="L17" t="n">
        <x:v>1.5</x:v>
      </x:c>
      <x:c r="M17" t="n">
        <x:f>B17-D17</x:f>
        <x:v>275</x:v>
      </x:c>
      <x:c r="N17" t="n">
        <x:f>C17*F17</x:f>
        <x:v>432</x:v>
      </x:c>
      <x:c r="O17" s="4" t="n">
        <x:f>IFERROR(M17/N17,0)</x:f>
        <x:v>0.6365740740740741</x:v>
      </x:c>
      <x:c r="P17" t="n">
        <x:f>G17-I17</x:f>
        <x:v>276</x:v>
      </x:c>
      <x:c r="Q17" t="n">
        <x:f>H17*K17</x:f>
        <x:v>608</x:v>
      </x:c>
      <x:c r="R17" s="4" t="n">
        <x:f>IFERROR(P17/Q17,0)</x:f>
        <x:v>0.45394736842105265</x:v>
      </x:c>
      <x:c r="S17" s="14" t="str">
        <x:f>IF(AND(D17=0,I17=0,E17="",J17=""),"Cần xác nhận OT","")</x:f>
      </x:c>
    </x:row>
    <x:row r="18" ht="21" customHeight="1">
      <x:c r="A18" s="2" t="n">
        <x:v>46286</x:v>
      </x:c>
      <x:c r="B18" t="n">
        <x:v>425</x:v>
      </x:c>
      <x:c r="C18" t="n">
        <x:v>55</x:v>
      </x:c>
      <x:c r="D18" t="n">
        <x:v>96</x:v>
      </x:c>
      <x:c r="E18" t="n">
        <x:v>47</x:v>
      </x:c>
      <x:c r="F18" t="n">
        <x:v>8</x:v>
      </x:c>
      <x:c r="G18" t="n">
        <x:v>390</x:v>
      </x:c>
      <x:c r="H18" t="n">
        <x:v>74</x:v>
      </x:c>
      <x:c r="I18" t="n">
        <x:v>41</x:v>
      </x:c>
      <x:c r="J18" t="n">
        <x:v>63</x:v>
      </x:c>
      <x:c r="K18" t="n">
        <x:v>8</x:v>
      </x:c>
      <x:c r="L18" t="n">
        <x:v>1.5</x:v>
      </x:c>
      <x:c r="M18" t="n">
        <x:f>B18-D18</x:f>
        <x:v>329</x:v>
      </x:c>
      <x:c r="N18" t="n">
        <x:f>C18*F18</x:f>
        <x:v>440</x:v>
      </x:c>
      <x:c r="O18" s="4" t="n">
        <x:f>IFERROR(M18/N18,0)</x:f>
        <x:v>0.7477272727272727</x:v>
      </x:c>
      <x:c r="P18" t="n">
        <x:f>G18-I18</x:f>
        <x:v>349</x:v>
      </x:c>
      <x:c r="Q18" t="n">
        <x:f>H18*K18</x:f>
        <x:v>592</x:v>
      </x:c>
      <x:c r="R18" s="4" t="n">
        <x:f>IFERROR(P18/Q18,0)</x:f>
        <x:v>0.589527027027027</x:v>
      </x:c>
      <x:c r="S18" s="14" t="str">
        <x:f>IF(AND(D18=0,I18=0,E18="",J18=""),"Cần xác nhận OT","")</x:f>
      </x:c>
    </x:row>
    <x:row r="19" ht="21" customHeight="1">
      <x:c r="A19" s="2" t="n">
        <x:v>46287</x:v>
      </x:c>
      <x:c r="B19" t="n">
        <x:v>427</x:v>
      </x:c>
      <x:c r="C19" t="n">
        <x:v>58</x:v>
      </x:c>
      <x:c r="D19" t="n">
        <x:v>83</x:v>
      </x:c>
      <x:c r="E19" t="n">
        <x:v>49</x:v>
      </x:c>
      <x:c r="F19" t="n">
        <x:v>8</x:v>
      </x:c>
      <x:c r="G19" t="n">
        <x:v>550</x:v>
      </x:c>
      <x:c r="H19" t="n">
        <x:v>83</x:v>
      </x:c>
      <x:c r="I19" t="n">
        <x:v>80</x:v>
      </x:c>
      <x:c r="J19" t="n">
        <x:v>59</x:v>
      </x:c>
      <x:c r="K19" t="n">
        <x:v>8</x:v>
      </x:c>
      <x:c r="L19" t="n">
        <x:v>1.5</x:v>
      </x:c>
      <x:c r="M19" t="n">
        <x:f>B19-D19</x:f>
        <x:v>344</x:v>
      </x:c>
      <x:c r="N19" t="n">
        <x:f>C19*F19</x:f>
        <x:v>464</x:v>
      </x:c>
      <x:c r="O19" s="4" t="n">
        <x:f>IFERROR(M19/N19,0)</x:f>
        <x:v>0.7413793103448276</x:v>
      </x:c>
      <x:c r="P19" t="n">
        <x:f>G19-I19</x:f>
        <x:v>470</x:v>
      </x:c>
      <x:c r="Q19" t="n">
        <x:f>H19*K19</x:f>
        <x:v>664</x:v>
      </x:c>
      <x:c r="R19" s="4" t="n">
        <x:f>IFERROR(P19/Q19,0)</x:f>
        <x:v>0.7078313253012049</x:v>
      </x:c>
      <x:c r="S19" s="14" t="str">
        <x:f>IF(AND(D19=0,I19=0,E19="",J19=""),"Cần xác nhận OT","")</x:f>
      </x:c>
    </x:row>
    <x:row r="20" ht="21" customHeight="1">
      <x:c r="A20" s="2" t="n">
        <x:v>46288</x:v>
      </x:c>
      <x:c r="B20" t="n">
        <x:v>495</x:v>
      </x:c>
      <x:c r="C20" t="n">
        <x:v>51</x:v>
      </x:c>
      <x:c r="D20" t="n">
        <x:v>75</x:v>
      </x:c>
      <x:c r="E20" t="n">
        <x:v>46</x:v>
      </x:c>
      <x:c r="F20" t="n">
        <x:v>8</x:v>
      </x:c>
      <x:c r="G20" t="n">
        <x:v>324</x:v>
      </x:c>
      <x:c r="H20" t="n">
        <x:v>77</x:v>
      </x:c>
      <x:c r="I20" t="n">
        <x:v>39</x:v>
      </x:c>
      <x:c r="J20" t="n">
        <x:v>55</x:v>
      </x:c>
      <x:c r="K20" t="n">
        <x:v>8</x:v>
      </x:c>
      <x:c r="L20" t="n">
        <x:v>1.5</x:v>
      </x:c>
      <x:c r="M20" t="n">
        <x:f>B20-D20</x:f>
        <x:v>420</x:v>
      </x:c>
      <x:c r="N20" t="n">
        <x:f>C20*F20</x:f>
        <x:v>408</x:v>
      </x:c>
      <x:c r="O20" s="4" t="n">
        <x:f>IFERROR(M20/N20,0)</x:f>
        <x:v>1.0294117647058822</x:v>
      </x:c>
      <x:c r="P20" t="n">
        <x:f>G20-I20</x:f>
        <x:v>285</x:v>
      </x:c>
      <x:c r="Q20" t="n">
        <x:f>H20*K20</x:f>
        <x:v>616</x:v>
      </x:c>
      <x:c r="R20" s="4" t="n">
        <x:f>IFERROR(P20/Q20,0)</x:f>
        <x:v>0.46266233766233766</x:v>
      </x:c>
      <x:c r="S20" s="14" t="str">
        <x:f>IF(AND(D20=0,I20=0,E20="",J20=""),"Cần xác nhận OT","")</x:f>
      </x:c>
    </x:row>
    <x:row r="21" ht="21" customHeight="1">
      <x:c r="A21" s="2" t="n">
        <x:v>46289</x:v>
      </x:c>
      <x:c r="B21" t="n">
        <x:v>467</x:v>
      </x:c>
      <x:c r="C21" t="n">
        <x:v>56</x:v>
      </x:c>
      <x:c r="D21" t="n">
        <x:v>90</x:v>
      </x:c>
      <x:c r="E21" t="n">
        <x:v>45</x:v>
      </x:c>
      <x:c r="F21" t="n">
        <x:v>8</x:v>
      </x:c>
      <x:c r="G21" t="n">
        <x:v>500</x:v>
      </x:c>
      <x:c r="H21" t="n">
        <x:v>82</x:v>
      </x:c>
      <x:c r="I21" t="n">
        <x:v>78</x:v>
      </x:c>
      <x:c r="J21" t="n">
        <x:v>56</x:v>
      </x:c>
      <x:c r="K21" t="n">
        <x:v>8</x:v>
      </x:c>
      <x:c r="L21" t="n">
        <x:v>1.5</x:v>
      </x:c>
      <x:c r="M21" t="n">
        <x:f>B21-D21</x:f>
        <x:v>377</x:v>
      </x:c>
      <x:c r="N21" t="n">
        <x:f>C21*F21</x:f>
        <x:v>448</x:v>
      </x:c>
      <x:c r="O21" s="4" t="n">
        <x:f>IFERROR(M21/N21,0)</x:f>
        <x:v>0.8415178571428571</x:v>
      </x:c>
      <x:c r="P21" t="n">
        <x:f>G21-I21</x:f>
        <x:v>422</x:v>
      </x:c>
      <x:c r="Q21" t="n">
        <x:f>H21*K21</x:f>
        <x:v>656</x:v>
      </x:c>
      <x:c r="R21" s="4" t="n">
        <x:f>IFERROR(P21/Q21,0)</x:f>
        <x:v>0.6432926829268293</x:v>
      </x:c>
      <x:c r="S21" s="14" t="str">
        <x:f>IF(AND(D21=0,I21=0,E21="",J21=""),"Cần xác nhận OT","")</x:f>
      </x:c>
    </x:row>
    <x:row r="22" ht="21" customHeight="1">
      <x:c r="A22" s="2" t="n">
        <x:v>46290</x:v>
      </x:c>
      <x:c r="B22" t="n">
        <x:v>470</x:v>
      </x:c>
      <x:c r="C22" t="n">
        <x:v>57</x:v>
      </x:c>
      <x:c r="D22" t="n">
        <x:v>119</x:v>
      </x:c>
      <x:c r="E22" t="n">
        <x:v>47</x:v>
      </x:c>
      <x:c r="F22" t="n">
        <x:v>8</x:v>
      </x:c>
      <x:c r="G22" t="n">
        <x:v>532</x:v>
      </x:c>
      <x:c r="H22" t="n">
        <x:v>81</x:v>
      </x:c>
      <x:c r="I22" t="n">
        <x:v>83</x:v>
      </x:c>
      <x:c r="J22" t="n">
        <x:v>59</x:v>
      </x:c>
      <x:c r="K22" t="n">
        <x:v>8</x:v>
      </x:c>
      <x:c r="L22" t="n">
        <x:v>1.5</x:v>
      </x:c>
      <x:c r="M22" t="n">
        <x:f>B22-D22</x:f>
        <x:v>351</x:v>
      </x:c>
      <x:c r="N22" t="n">
        <x:f>C22*F22</x:f>
        <x:v>456</x:v>
      </x:c>
      <x:c r="O22" s="4" t="n">
        <x:f>IFERROR(M22/N22,0)</x:f>
        <x:v>0.7697368421052632</x:v>
      </x:c>
      <x:c r="P22" t="n">
        <x:f>G22-I22</x:f>
        <x:v>449</x:v>
      </x:c>
      <x:c r="Q22" t="n">
        <x:f>H22*K22</x:f>
        <x:v>648</x:v>
      </x:c>
      <x:c r="R22" s="4" t="n">
        <x:f>IFERROR(P22/Q22,0)</x:f>
        <x:v>0.6929012345679012</x:v>
      </x:c>
      <x:c r="S22" s="14" t="str">
        <x:f>IF(AND(D22=0,I22=0,E22="",J22=""),"Cần xác nhận OT","")</x:f>
      </x:c>
    </x:row>
    <x:row r="23" ht="21" customHeight="1">
      <x:c r="A23" s="2" t="n">
        <x:v>46291</x:v>
      </x:c>
      <x:c r="B23" t="n">
        <x:v>414</x:v>
      </x:c>
      <x:c r="C23" t="n">
        <x:v>56</x:v>
      </x:c>
      <x:c r="D23" t="n">
        <x:v>106</x:v>
      </x:c>
      <x:c r="E23" t="n">
        <x:v>41</x:v>
      </x:c>
      <x:c r="F23" t="n">
        <x:v>8</x:v>
      </x:c>
      <x:c r="G23" t="n">
        <x:v>396</x:v>
      </x:c>
      <x:c r="H23" t="n">
        <x:v>78</x:v>
      </x:c>
      <x:c r="I23" t="n">
        <x:v>53</x:v>
      </x:c>
      <x:c r="J23" t="n">
        <x:v>57</x:v>
      </x:c>
      <x:c r="K23" t="n">
        <x:v>8</x:v>
      </x:c>
      <x:c r="L23" t="n">
        <x:v>1.5</x:v>
      </x:c>
      <x:c r="M23" t="n">
        <x:f>B23-D23</x:f>
        <x:v>308</x:v>
      </x:c>
      <x:c r="N23" t="n">
        <x:f>C23*F23</x:f>
        <x:v>448</x:v>
      </x:c>
      <x:c r="O23" s="4" t="n">
        <x:f>IFERROR(M23/N23,0)</x:f>
        <x:v>0.6875</x:v>
      </x:c>
      <x:c r="P23" t="n">
        <x:f>G23-I23</x:f>
        <x:v>343</x:v>
      </x:c>
      <x:c r="Q23" t="n">
        <x:f>H23*K23</x:f>
        <x:v>624</x:v>
      </x:c>
      <x:c r="R23" s="4" t="n">
        <x:f>IFERROR(P23/Q23,0)</x:f>
        <x:v>0.5496794871794872</x:v>
      </x:c>
      <x:c r="S23" s="14" t="str">
        <x:f>IF(AND(D23=0,I23=0,E23="",J23=""),"Cần xác nhận OT","")</x:f>
      </x:c>
    </x:row>
    <x:row r="24" ht="21" customHeight="1">
      <x:c r="A24" s="2" t="n">
        <x:v>46293</x:v>
      </x:c>
      <x:c r="B24" t="n">
        <x:v>318</x:v>
      </x:c>
      <x:c r="C24" t="n">
        <x:v>56</x:v>
      </x:c>
      <x:c r="D24" t="n">
        <x:v>54</x:v>
      </x:c>
      <x:c r="E24" t="n">
        <x:v>21</x:v>
      </x:c>
      <x:c r="F24" t="n">
        <x:v>8</x:v>
      </x:c>
      <x:c r="G24" t="n">
        <x:v>405</x:v>
      </x:c>
      <x:c r="H24" t="n">
        <x:v>85</x:v>
      </x:c>
      <x:c r="I24" t="n">
        <x:v>54</x:v>
      </x:c>
      <x:c r="J24" t="n">
        <x:v>63</x:v>
      </x:c>
      <x:c r="K24" t="n">
        <x:v>8</x:v>
      </x:c>
      <x:c r="L24" t="n">
        <x:v>1</x:v>
      </x:c>
      <x:c r="M24" t="n">
        <x:f>B24-D24</x:f>
        <x:v>264</x:v>
      </x:c>
      <x:c r="N24" t="n">
        <x:f>C24*F24</x:f>
        <x:v>448</x:v>
      </x:c>
      <x:c r="O24" s="4" t="n">
        <x:f>IFERROR(M24/N24,0)</x:f>
        <x:v>0.5892857142857143</x:v>
      </x:c>
      <x:c r="P24" t="n">
        <x:f>G24-I24</x:f>
        <x:v>351</x:v>
      </x:c>
      <x:c r="Q24" t="n">
        <x:f>H24*K24</x:f>
        <x:v>680</x:v>
      </x:c>
      <x:c r="R24" s="4" t="n">
        <x:f>IFERROR(P24/Q24,0)</x:f>
        <x:v>0.5161764705882353</x:v>
      </x:c>
      <x:c r="S24" s="14" t="str">
        <x:f>IF(AND(D24=0,I24=0,E24="",J24=""),"Cần xác nhận OT","")</x:f>
      </x:c>
    </x:row>
    <x:row r="25" ht="21" customHeight="1">
      <x:c r="A25" s="2" t="n">
        <x:v>46294</x:v>
      </x:c>
      <x:c r="B25" t="n">
        <x:v>325</x:v>
      </x:c>
      <x:c r="C25" t="n">
        <x:v>56</x:v>
      </x:c>
      <x:c r="D25" t="n">
        <x:v>29</x:v>
      </x:c>
      <x:c r="E25" t="n">
        <x:v>31</x:v>
      </x:c>
      <x:c r="F25" t="n">
        <x:v>8</x:v>
      </x:c>
      <x:c r="G25" t="n">
        <x:v>453</x:v>
      </x:c>
      <x:c r="H25" t="n">
        <x:v>83</x:v>
      </x:c>
      <x:c r="I25" t="n">
        <x:v>57</x:v>
      </x:c>
      <x:c r="J25" t="n">
        <x:v>62</x:v>
      </x:c>
      <x:c r="K25" t="n">
        <x:v>8</x:v>
      </x:c>
      <x:c r="L25" t="n">
        <x:v>1</x:v>
      </x:c>
      <x:c r="M25" t="n">
        <x:f>B25-D25</x:f>
        <x:v>296</x:v>
      </x:c>
      <x:c r="N25" t="n">
        <x:f>C25*F25</x:f>
        <x:v>448</x:v>
      </x:c>
      <x:c r="O25" s="4" t="n">
        <x:f>IFERROR(M25/N25,0)</x:f>
        <x:v>0.6607142857142857</x:v>
      </x:c>
      <x:c r="P25" t="n">
        <x:f>G25-I25</x:f>
        <x:v>396</x:v>
      </x:c>
      <x:c r="Q25" t="n">
        <x:f>H25*K25</x:f>
        <x:v>664</x:v>
      </x:c>
      <x:c r="R25" s="4" t="n">
        <x:f>IFERROR(P25/Q25,0)</x:f>
        <x:v>0.5963855421686747</x:v>
      </x:c>
      <x:c r="S25" s="14" t="str">
        <x:f>IF(AND(D25=0,I25=0,E25="",J25=""),"Cần xác nhận OT","")</x:f>
      </x:c>
    </x:row>
    <x:row r="26" ht="21" customHeight="1">
      <x:c r="A26" s="2" t="n">
        <x:v>46295</x:v>
      </x:c>
      <x:c r="B26" t="n">
        <x:v>310</x:v>
      </x:c>
      <x:c r="C26" t="n">
        <x:v>56</x:v>
      </x:c>
      <x:c r="D26" t="n">
        <x:v>20</x:v>
      </x:c>
      <x:c r="E26" t="n">
        <x:v>39</x:v>
      </x:c>
      <x:c r="F26" t="n">
        <x:v>8</x:v>
      </x:c>
      <x:c r="G26" t="n">
        <x:v>450</x:v>
      </x:c>
      <x:c r="H26" t="n">
        <x:v>84</x:v>
      </x:c>
      <x:c r="I26" t="n">
        <x:v>54</x:v>
      </x:c>
      <x:c r="J26" t="n">
        <x:v>68</x:v>
      </x:c>
      <x:c r="K26" t="n">
        <x:v>8</x:v>
      </x:c>
      <x:c r="L26" t="n">
        <x:v>1</x:v>
      </x:c>
      <x:c r="M26" t="n">
        <x:f>B26-D26</x:f>
        <x:v>290</x:v>
      </x:c>
      <x:c r="N26" t="n">
        <x:f>C26*F26</x:f>
        <x:v>448</x:v>
      </x:c>
      <x:c r="O26" s="4" t="n">
        <x:f>IFERROR(M26/N26,0)</x:f>
        <x:v>0.6473214285714286</x:v>
      </x:c>
      <x:c r="P26" t="n">
        <x:f>G26-I26</x:f>
        <x:v>396</x:v>
      </x:c>
      <x:c r="Q26" t="n">
        <x:f>H26*K26</x:f>
        <x:v>672</x:v>
      </x:c>
      <x:c r="R26" s="4" t="n">
        <x:f>IFERROR(P26/Q26,0)</x:f>
        <x:v>0.5892857142857143</x:v>
      </x:c>
      <x:c r="S26" s="14" t="str">
        <x:f>IF(AND(D26=0,I26=0,E26="",J26=""),"Cần xác nhận OT","")</x:f>
      </x:c>
    </x:row>
    <x:row r="27" ht="21" customHeight="1">
      <x:c r="A27" s="2" t="n">
        <x:v>46296</x:v>
      </x:c>
      <x:c r="B27" t="n">
        <x:v>344</x:v>
      </x:c>
      <x:c r="C27" t="n">
        <x:v>56</x:v>
      </x:c>
      <x:c r="D27" t="n">
        <x:v>51</x:v>
      </x:c>
      <x:c r="E27" t="n">
        <x:v>34</x:v>
      </x:c>
      <x:c r="F27" t="n">
        <x:v>8</x:v>
      </x:c>
      <x:c r="G27" t="n">
        <x:v>329</x:v>
      </x:c>
      <x:c r="H27" t="n">
        <x:v>80</x:v>
      </x:c>
      <x:c r="I27" t="n">
        <x:v>29</x:v>
      </x:c>
      <x:c r="J27" t="n">
        <x:v>51</x:v>
      </x:c>
      <x:c r="K27" t="n">
        <x:v>8</x:v>
      </x:c>
      <x:c r="L27" t="n">
        <x:v>1</x:v>
      </x:c>
      <x:c r="M27" t="n">
        <x:f>B27-D27</x:f>
        <x:v>293</x:v>
      </x:c>
      <x:c r="N27" t="n">
        <x:f>C27*F27</x:f>
        <x:v>448</x:v>
      </x:c>
      <x:c r="O27" s="4" t="n">
        <x:f>IFERROR(M27/N27,0)</x:f>
        <x:v>0.6540178571428571</x:v>
      </x:c>
      <x:c r="P27" t="n">
        <x:f>G27-I27</x:f>
        <x:v>300</x:v>
      </x:c>
      <x:c r="Q27" t="n">
        <x:f>H27*K27</x:f>
        <x:v>640</x:v>
      </x:c>
      <x:c r="R27" s="4" t="n">
        <x:f>IFERROR(P27/Q27,0)</x:f>
        <x:v>0.46875</x:v>
      </x:c>
      <x:c r="S27" s="14" t="str">
        <x:f>IF(AND(D27=0,I27=0,E27="",J27=""),"Cần xác nhận OT","")</x:f>
      </x:c>
    </x:row>
    <x:row r="28" ht="21" customHeight="1">
      <x:c r="A28" s="2" t="n">
        <x:v>46297</x:v>
      </x:c>
      <x:c r="B28" t="n">
        <x:v>400</x:v>
      </x:c>
      <x:c r="C28" t="n">
        <x:v>56</x:v>
      </x:c>
      <x:c r="D28" t="n">
        <x:v>83</x:v>
      </x:c>
      <x:c r="E28" t="n">
        <x:v>47</x:v>
      </x:c>
      <x:c r="F28" t="n">
        <x:v>8</x:v>
      </x:c>
      <x:c r="G28" t="n">
        <x:v>381</x:v>
      </x:c>
      <x:c r="H28" t="n">
        <x:v>83</x:v>
      </x:c>
      <x:c r="I28" t="n">
        <x:v>45</x:v>
      </x:c>
      <x:c r="J28" t="n">
        <x:v>66</x:v>
      </x:c>
      <x:c r="K28" t="n">
        <x:v>8</x:v>
      </x:c>
      <x:c r="L28" t="n">
        <x:v>1</x:v>
      </x:c>
      <x:c r="M28" t="n">
        <x:f>B28-D28</x:f>
        <x:v>317</x:v>
      </x:c>
      <x:c r="N28" t="n">
        <x:f>C28*F28</x:f>
        <x:v>448</x:v>
      </x:c>
      <x:c r="O28" s="4" t="n">
        <x:f>IFERROR(M28/N28,0)</x:f>
        <x:v>0.7075892857142857</x:v>
      </x:c>
      <x:c r="P28" t="n">
        <x:f>G28-I28</x:f>
        <x:v>336</x:v>
      </x:c>
      <x:c r="Q28" t="n">
        <x:f>H28*K28</x:f>
        <x:v>664</x:v>
      </x:c>
      <x:c r="R28" s="4" t="n">
        <x:f>IFERROR(P28/Q28,0)</x:f>
        <x:v>0.5060240963855421</x:v>
      </x:c>
      <x:c r="S28" s="14" t="str">
        <x:f>IF(AND(D28=0,I28=0,E28="",J28=""),"Cần xác nhận OT","")</x:f>
      </x:c>
    </x:row>
    <x:row r="29" ht="21" customHeight="1">
      <x:c r="A29" s="2" t="n">
        <x:v>46298</x:v>
      </x:c>
      <x:c r="B29" t="n">
        <x:v>323</x:v>
      </x:c>
      <x:c r="C29" t="n">
        <x:v>56</x:v>
      </x:c>
      <x:c r="D29" t="n">
        <x:v>0</x:v>
      </x:c>
      <x:c r="E29" t="n">
        <x:v>0</x:v>
      </x:c>
      <x:c r="F29" t="n">
        <x:v>8</x:v>
      </x:c>
      <x:c r="G29" t="n">
        <x:v>441</x:v>
      </x:c>
      <x:c r="H29" t="n">
        <x:v>82</x:v>
      </x:c>
      <x:c r="I29" t="n">
        <x:v>43</x:v>
      </x:c>
      <x:c r="J29" t="n">
        <x:v>39</x:v>
      </x:c>
      <x:c r="K29" t="n">
        <x:v>8</x:v>
      </x:c>
      <x:c r="L29" t="n">
        <x:v>1</x:v>
      </x:c>
      <x:c r="M29" t="n">
        <x:f>B29-D29</x:f>
        <x:v>323</x:v>
      </x:c>
      <x:c r="N29" t="n">
        <x:f>C29*F29</x:f>
        <x:v>448</x:v>
      </x:c>
      <x:c r="O29" s="4" t="n">
        <x:f>IFERROR(M29/N29,0)</x:f>
        <x:v>0.7209821428571429</x:v>
      </x:c>
      <x:c r="P29" t="n">
        <x:f>G29-I29</x:f>
        <x:v>398</x:v>
      </x:c>
      <x:c r="Q29" t="n">
        <x:f>H29*K29</x:f>
        <x:v>656</x:v>
      </x:c>
      <x:c r="R29" s="4" t="n">
        <x:f>IFERROR(P29/Q29,0)</x:f>
        <x:v>0.6067073170731707</x:v>
      </x:c>
      <x:c r="S29" s="14" t="str">
        <x:f>IF(AND(D29=0,I29=0,E29="",J29=""),"Cần xác nhận OT","")</x:f>
      </x:c>
    </x:row>
    <x:row r="30" ht="21" customHeight="1">
      <x:c r="A30" s="2" t="n">
        <x:v>46300</x:v>
      </x:c>
      <x:c r="B30" t="n">
        <x:v>273</x:v>
      </x:c>
      <x:c r="C30" t="n">
        <x:v>54</x:v>
      </x:c>
      <x:c r="D30" t="n">
        <x:v>0</x:v>
      </x:c>
      <x:c r="E30"/>
      <x:c r="F30" t="n">
        <x:v>8</x:v>
      </x:c>
      <x:c r="G30" t="n">
        <x:v>390</x:v>
      </x:c>
      <x:c r="H30" t="n">
        <x:v>78</x:v>
      </x:c>
      <x:c r="I30" t="n">
        <x:v>0</x:v>
      </x:c>
      <x:c r="J30"/>
      <x:c r="K30" t="n">
        <x:v>8</x:v>
      </x:c>
      <x:c r="L30" t="n">
        <x:v>0</x:v>
      </x:c>
      <x:c r="M30" t="n">
        <x:f>B30-D30</x:f>
        <x:v>273</x:v>
      </x:c>
      <x:c r="N30" t="n">
        <x:f>C30*F30</x:f>
        <x:v>432</x:v>
      </x:c>
      <x:c r="O30" s="4" t="n">
        <x:f>IFERROR(M30/N30,0)</x:f>
        <x:v>0.6319444444444444</x:v>
      </x:c>
      <x:c r="P30" t="n">
        <x:f>G30-I30</x:f>
        <x:v>390</x:v>
      </x:c>
      <x:c r="Q30" t="n">
        <x:f>H30*K30</x:f>
        <x:v>624</x:v>
      </x:c>
      <x:c r="R30" s="4" t="n">
        <x:f>IFERROR(P30/Q30,0)</x:f>
        <x:v>0.625</x:v>
      </x:c>
      <x:c r="S30" s="14" t="str">
        <x:f>IF(AND(D30=0,I30=0,E30="",J30=""),"Cần xác nhận OT","")</x:f>
        <x:v>Cần xác nhận OT</x:v>
      </x:c>
    </x:row>
    <x:row r="31" ht="21" customHeight="1">
      <x:c r="A31" s="2" t="n">
        <x:v>46301</x:v>
      </x:c>
      <x:c r="B31" t="n">
        <x:v>325</x:v>
      </x:c>
      <x:c r="C31" t="n">
        <x:v>55</x:v>
      </x:c>
      <x:c r="D31" t="n">
        <x:v>0</x:v>
      </x:c>
      <x:c r="E31"/>
      <x:c r="F31" t="n">
        <x:v>8</x:v>
      </x:c>
      <x:c r="G31" t="n">
        <x:v>322</x:v>
      </x:c>
      <x:c r="H31" t="n">
        <x:v>82</x:v>
      </x:c>
      <x:c r="I31" t="n">
        <x:v>0</x:v>
      </x:c>
      <x:c r="J31"/>
      <x:c r="K31" t="n">
        <x:v>8</x:v>
      </x:c>
      <x:c r="L31" t="n">
        <x:v>0</x:v>
      </x:c>
      <x:c r="M31" t="n">
        <x:f>B31-D31</x:f>
        <x:v>325</x:v>
      </x:c>
      <x:c r="N31" t="n">
        <x:f>C31*F31</x:f>
        <x:v>440</x:v>
      </x:c>
      <x:c r="O31" s="4" t="n">
        <x:f>IFERROR(M31/N31,0)</x:f>
        <x:v>0.7386363636363636</x:v>
      </x:c>
      <x:c r="P31" t="n">
        <x:f>G31-I31</x:f>
        <x:v>322</x:v>
      </x:c>
      <x:c r="Q31" t="n">
        <x:f>H31*K31</x:f>
        <x:v>656</x:v>
      </x:c>
      <x:c r="R31" s="4" t="n">
        <x:f>IFERROR(P31/Q31,0)</x:f>
        <x:v>0.49085365853658536</x:v>
      </x:c>
      <x:c r="S31" s="14" t="str">
        <x:f>IF(AND(D31=0,I31=0,E31="",J31=""),"Cần xác nhận OT","")</x:f>
        <x:v>Cần xác nhận OT</x:v>
      </x:c>
    </x:row>
    <x:row r="32" ht="21" customHeight="1">
      <x:c r="A32" s="2" t="n">
        <x:v>46302</x:v>
      </x:c>
      <x:c r="B32" t="n">
        <x:v>260</x:v>
      </x:c>
      <x:c r="C32" t="n">
        <x:v>55</x:v>
      </x:c>
      <x:c r="D32" t="n">
        <x:v>0</x:v>
      </x:c>
      <x:c r="E32"/>
      <x:c r="F32" t="n">
        <x:v>8</x:v>
      </x:c>
      <x:c r="G32" t="n">
        <x:v>354</x:v>
      </x:c>
      <x:c r="H32" t="n">
        <x:v>84</x:v>
      </x:c>
      <x:c r="I32" t="n">
        <x:v>0</x:v>
      </x:c>
      <x:c r="J32"/>
      <x:c r="K32" t="n">
        <x:v>8</x:v>
      </x:c>
      <x:c r="L32" t="n">
        <x:v>0</x:v>
      </x:c>
      <x:c r="M32" t="n">
        <x:f>B32-D32</x:f>
        <x:v>260</x:v>
      </x:c>
      <x:c r="N32" t="n">
        <x:f>C32*F32</x:f>
        <x:v>440</x:v>
      </x:c>
      <x:c r="O32" s="4" t="n">
        <x:f>IFERROR(M32/N32,0)</x:f>
        <x:v>0.5909090909090909</x:v>
      </x:c>
      <x:c r="P32" t="n">
        <x:f>G32-I32</x:f>
        <x:v>354</x:v>
      </x:c>
      <x:c r="Q32" t="n">
        <x:f>H32*K32</x:f>
        <x:v>672</x:v>
      </x:c>
      <x:c r="R32" s="4" t="n">
        <x:f>IFERROR(P32/Q32,0)</x:f>
        <x:v>0.5267857142857143</x:v>
      </x:c>
      <x:c r="S32" s="14" t="str">
        <x:f>IF(AND(D32=0,I32=0,E32="",J32=""),"Cần xác nhận OT","")</x:f>
        <x:v>Cần xác nhận OT</x:v>
      </x:c>
    </x:row>
    <x:row r="33" ht="21" customHeight="1">
      <x:c r="A33" s="2" t="n">
        <x:v>46303</x:v>
      </x:c>
      <x:c r="B33" t="n">
        <x:v>346</x:v>
      </x:c>
      <x:c r="C33" t="n">
        <x:v>55</x:v>
      </x:c>
      <x:c r="D33" t="n">
        <x:v>0</x:v>
      </x:c>
      <x:c r="E33"/>
      <x:c r="F33" t="n">
        <x:v>8</x:v>
      </x:c>
      <x:c r="G33" t="n">
        <x:v>384</x:v>
      </x:c>
      <x:c r="H33" t="n">
        <x:v>86</x:v>
      </x:c>
      <x:c r="I33" t="n">
        <x:v>0</x:v>
      </x:c>
      <x:c r="J33"/>
      <x:c r="K33" t="n">
        <x:v>8</x:v>
      </x:c>
      <x:c r="L33" t="n">
        <x:v>0</x:v>
      </x:c>
      <x:c r="M33" t="n">
        <x:f>B33-D33</x:f>
        <x:v>346</x:v>
      </x:c>
      <x:c r="N33" t="n">
        <x:f>C33*F33</x:f>
        <x:v>440</x:v>
      </x:c>
      <x:c r="O33" s="4" t="n">
        <x:f>IFERROR(M33/N33,0)</x:f>
        <x:v>0.7863636363636364</x:v>
      </x:c>
      <x:c r="P33" t="n">
        <x:f>G33-I33</x:f>
        <x:v>384</x:v>
      </x:c>
      <x:c r="Q33" t="n">
        <x:f>H33*K33</x:f>
        <x:v>688</x:v>
      </x:c>
      <x:c r="R33" s="4" t="n">
        <x:f>IFERROR(P33/Q33,0)</x:f>
        <x:v>0.5581395348837209</x:v>
      </x:c>
      <x:c r="S33" s="14" t="str">
        <x:f>IF(AND(D33=0,I33=0,E33="",J33=""),"Cần xác nhận OT","")</x:f>
        <x:v>Cần xác nhận OT</x:v>
      </x:c>
    </x:row>
    <x:row r="34" ht="21" customHeight="1">
      <x:c r="A34" s="2" t="n">
        <x:v>46304</x:v>
      </x:c>
      <x:c r="B34" t="n">
        <x:v>296</x:v>
      </x:c>
      <x:c r="C34" t="n">
        <x:v>51</x:v>
      </x:c>
      <x:c r="D34" t="n">
        <x:v>0</x:v>
      </x:c>
      <x:c r="E34"/>
      <x:c r="F34" t="n">
        <x:v>8</x:v>
      </x:c>
      <x:c r="G34" t="n">
        <x:v>365</x:v>
      </x:c>
      <x:c r="H34" t="n">
        <x:v>80</x:v>
      </x:c>
      <x:c r="I34" t="n">
        <x:v>0</x:v>
      </x:c>
      <x:c r="J34"/>
      <x:c r="K34" t="n">
        <x:v>8</x:v>
      </x:c>
      <x:c r="L34" t="n">
        <x:v>0</x:v>
      </x:c>
      <x:c r="M34" t="n">
        <x:f>B34-D34</x:f>
        <x:v>296</x:v>
      </x:c>
      <x:c r="N34" t="n">
        <x:f>C34*F34</x:f>
        <x:v>408</x:v>
      </x:c>
      <x:c r="O34" s="4" t="n">
        <x:f>IFERROR(M34/N34,0)</x:f>
        <x:v>0.7254901960784313</x:v>
      </x:c>
      <x:c r="P34" t="n">
        <x:f>G34-I34</x:f>
        <x:v>365</x:v>
      </x:c>
      <x:c r="Q34" t="n">
        <x:f>H34*K34</x:f>
        <x:v>640</x:v>
      </x:c>
      <x:c r="R34" s="4" t="n">
        <x:f>IFERROR(P34/Q34,0)</x:f>
        <x:v>0.5703125</x:v>
      </x:c>
      <x:c r="S34" s="14" t="str">
        <x:f>IF(AND(D34=0,I34=0,E34="",J34=""),"Cần xác nhận OT","")</x:f>
        <x:v>Cần xác nhận OT</x:v>
      </x:c>
    </x:row>
    <x:row r="35" ht="21" customHeight="1">
      <x:c r="A35" s="2" t="n">
        <x:v>46305</x:v>
      </x:c>
      <x:c r="B35" t="n">
        <x:v>388</x:v>
      </x:c>
      <x:c r="C35" t="n">
        <x:v>50</x:v>
      </x:c>
      <x:c r="D35" t="n">
        <x:v>0</x:v>
      </x:c>
      <x:c r="E35"/>
      <x:c r="F35" t="n">
        <x:v>8</x:v>
      </x:c>
      <x:c r="G35" t="n">
        <x:v>420</x:v>
      </x:c>
      <x:c r="H35" t="n">
        <x:v>84</x:v>
      </x:c>
      <x:c r="I35" t="n">
        <x:v>0</x:v>
      </x:c>
      <x:c r="J35"/>
      <x:c r="K35" t="n">
        <x:v>8</x:v>
      </x:c>
      <x:c r="L35" t="n">
        <x:v>0</x:v>
      </x:c>
      <x:c r="M35" t="n">
        <x:f>B35-D35</x:f>
        <x:v>388</x:v>
      </x:c>
      <x:c r="N35" t="n">
        <x:f>C35*F35</x:f>
        <x:v>400</x:v>
      </x:c>
      <x:c r="O35" s="4" t="n">
        <x:f>IFERROR(M35/N35,0)</x:f>
        <x:v>0.97</x:v>
      </x:c>
      <x:c r="P35" t="n">
        <x:f>G35-I35</x:f>
        <x:v>420</x:v>
      </x:c>
      <x:c r="Q35" t="n">
        <x:f>H35*K35</x:f>
        <x:v>672</x:v>
      </x:c>
      <x:c r="R35" s="4" t="n">
        <x:f>IFERROR(P35/Q35,0)</x:f>
        <x:v>0.625</x:v>
      </x:c>
      <x:c r="S35" s="14" t="str">
        <x:f>IF(AND(D35=0,I35=0,E35="",J35=""),"Cần xác nhận OT","")</x:f>
        <x:v>Cần xác nhận OT</x:v>
      </x:c>
    </x:row>
    <x:row r="36" ht="21" customHeight="1">
      <x:c r="A36" s="2" t="n">
        <x:v>46307</x:v>
      </x:c>
      <x:c r="B36" t="n">
        <x:v>279</x:v>
      </x:c>
      <x:c r="C36" t="n">
        <x:v>52</x:v>
      </x:c>
      <x:c r="D36" t="n">
        <x:v>0</x:v>
      </x:c>
      <x:c r="E36"/>
      <x:c r="F36" t="n">
        <x:v>8</x:v>
      </x:c>
      <x:c r="G36" t="n">
        <x:v>286</x:v>
      </x:c>
      <x:c r="H36" t="n">
        <x:v>83</x:v>
      </x:c>
      <x:c r="I36" t="n">
        <x:v>0</x:v>
      </x:c>
      <x:c r="J36"/>
      <x:c r="K36" t="n">
        <x:v>8</x:v>
      </x:c>
      <x:c r="L36" t="n">
        <x:v>0</x:v>
      </x:c>
      <x:c r="M36" t="n">
        <x:f>B36-D36</x:f>
        <x:v>279</x:v>
      </x:c>
      <x:c r="N36" t="n">
        <x:f>C36*F36</x:f>
        <x:v>416</x:v>
      </x:c>
      <x:c r="O36" s="4" t="n">
        <x:f>IFERROR(M36/N36,0)</x:f>
        <x:v>0.6706730769230769</x:v>
      </x:c>
      <x:c r="P36" t="n">
        <x:f>G36-I36</x:f>
        <x:v>286</x:v>
      </x:c>
      <x:c r="Q36" t="n">
        <x:f>H36*K36</x:f>
        <x:v>664</x:v>
      </x:c>
      <x:c r="R36" s="4" t="n">
        <x:f>IFERROR(P36/Q36,0)</x:f>
        <x:v>0.4307228915662651</x:v>
      </x:c>
      <x:c r="S36" s="14" t="str">
        <x:f>IF(AND(D36=0,I36=0,E36="",J36=""),"Cần xác nhận OT","")</x:f>
        <x:v>Cần xác nhận OT</x:v>
      </x:c>
    </x:row>
    <x:row r="37" ht="21" customHeight="1">
      <x:c r="A37" s="2" t="n">
        <x:v>46308</x:v>
      </x:c>
      <x:c r="B37" t="n">
        <x:v>396</x:v>
      </x:c>
      <x:c r="C37" t="n">
        <x:v>50</x:v>
      </x:c>
      <x:c r="D37" t="n">
        <x:v>0</x:v>
      </x:c>
      <x:c r="E37"/>
      <x:c r="F37" t="n">
        <x:v>8</x:v>
      </x:c>
      <x:c r="G37" t="n">
        <x:v>379</x:v>
      </x:c>
      <x:c r="H37" t="n">
        <x:v>83</x:v>
      </x:c>
      <x:c r="I37" t="n">
        <x:v>0</x:v>
      </x:c>
      <x:c r="J37"/>
      <x:c r="K37" t="n">
        <x:v>8</x:v>
      </x:c>
      <x:c r="L37" t="n">
        <x:v>0</x:v>
      </x:c>
      <x:c r="M37" t="n">
        <x:f>B37-D37</x:f>
        <x:v>396</x:v>
      </x:c>
      <x:c r="N37" t="n">
        <x:f>C37*F37</x:f>
        <x:v>400</x:v>
      </x:c>
      <x:c r="O37" s="4" t="n">
        <x:f>IFERROR(M37/N37,0)</x:f>
        <x:v>0.99</x:v>
      </x:c>
      <x:c r="P37" t="n">
        <x:f>G37-I37</x:f>
        <x:v>379</x:v>
      </x:c>
      <x:c r="Q37" t="n">
        <x:f>H37*K37</x:f>
        <x:v>664</x:v>
      </x:c>
      <x:c r="R37" s="4" t="n">
        <x:f>IFERROR(P37/Q37,0)</x:f>
        <x:v>0.5707831325301205</x:v>
      </x:c>
      <x:c r="S37" s="14" t="str">
        <x:f>IF(AND(D37=0,I37=0,E37="",J37=""),"Cần xác nhận OT","")</x:f>
        <x:v>Cần xác nhận OT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63" hidden="0" customWidth="1"/>
  </x:cols>
  <x:sheetData>
    <x:row r="1" ht="32" customHeight="1">
      <x:c r="A1" s="8" t="str">
        <x:v>Ngày</x:v>
      </x:c>
      <x:c r="B1" s="8" t="str">
        <x:v>Mã giày</x:v>
      </x:c>
      <x:c r="C1" s="8" t="str">
        <x:v>GCĐ tổng</x:v>
      </x:c>
      <x:c r="D1" s="8" t="str">
        <x:v>GCĐ OT</x:v>
      </x:c>
      <x:c r="E1" s="8" t="str">
        <x:v>GCĐ SL 8H</x:v>
      </x:c>
      <x:c r="F1" s="8" t="str">
        <x:v>TH tổng</x:v>
      </x:c>
      <x:c r="G1" s="8" t="str">
        <x:v>TH OT</x:v>
      </x:c>
      <x:c r="H1" s="8" t="str">
        <x:v>TH SL 8H</x:v>
      </x:c>
      <x:c r="I1" s="8" t="str">
        <x:v>Ghi chú</x:v>
      </x:c>
    </x:row>
    <x:row r="2">
      <x:c r="A2" s="2" t="n">
        <x:v>46265</x:v>
      </x:c>
      <x:c r="B2" t="str">
        <x:v>BBB-1698</x:v>
      </x:c>
      <x:c r="C2" t="n">
        <x:v>233</x:v>
      </x:c>
      <x:c r="D2" t="n">
        <x:v>15</x:v>
      </x:c>
      <x:c r="E2" t="n">
        <x:v>218</x:v>
      </x:c>
      <x:c r="F2" t="n">
        <x:v>212</x:v>
      </x:c>
      <x:c r="G2" t="n">
        <x:v>28</x:v>
      </x:c>
      <x:c r="H2" t="n">
        <x:v>184</x:v>
      </x:c>
      <x:c r="I2" t="str">
        <x:v>HC dùng chung theo công đoạn; không tính đôi/giờ công riêng cho từng mã giày.</x:v>
      </x:c>
    </x:row>
    <x:row r="3">
      <x:c r="A3" s="2" t="n">
        <x:v>46265</x:v>
      </x:c>
      <x:c r="B3" t="str">
        <x:v>SOB-1632</x:v>
      </x:c>
      <x:c r="C3" t="n">
        <x:v>0</x:v>
      </x:c>
      <x:c r="D3" t="n">
        <x:v>0</x:v>
      </x:c>
      <x:c r="E3" t="n">
        <x:v>0</x:v>
      </x:c>
      <x:c r="F3" t="n">
        <x:v>48</x:v>
      </x:c>
      <x:c r="G3" t="n">
        <x:v>7</x:v>
      </x:c>
      <x:c r="H3" t="n">
        <x:v>41</x:v>
      </x:c>
      <x:c r="I3" t="str">
        <x:v>HC dùng chung theo công đoạn; không tính đôi/giờ công riêng cho từng mã giày.</x:v>
      </x:c>
    </x:row>
    <x:row r="4">
      <x:c r="A4" s="2" t="n">
        <x:v>46265</x:v>
      </x:c>
      <x:c r="B4" t="str">
        <x:v>SWB-1285-1</x:v>
      </x:c>
      <x:c r="C4" t="n">
        <x:v>20</x:v>
      </x:c>
      <x:c r="D4" t="n">
        <x:v>7</x:v>
      </x:c>
      <x:c r="E4" t="n">
        <x:v>13</x:v>
      </x:c>
      <x:c r="F4" t="n">
        <x:v>49</x:v>
      </x:c>
      <x:c r="G4" t="n">
        <x:v>4</x:v>
      </x:c>
      <x:c r="H4" t="n">
        <x:v>45</x:v>
      </x:c>
      <x:c r="I4" t="str">
        <x:v>HC dùng chung theo công đoạn; không tính đôi/giờ công riêng cho từng mã giày.</x:v>
      </x:c>
    </x:row>
    <x:row r="5">
      <x:c r="A5" s="2" t="n">
        <x:v>46268</x:v>
      </x:c>
      <x:c r="B5" t="str">
        <x:v>BBB-1698</x:v>
      </x:c>
      <x:c r="C5" t="n">
        <x:v>146</x:v>
      </x:c>
      <x:c r="D5" t="n">
        <x:v>36</x:v>
      </x:c>
      <x:c r="E5" t="n">
        <x:v>110</x:v>
      </x:c>
      <x:c r="F5" t="n">
        <x:v>303</x:v>
      </x:c>
      <x:c r="G5" t="n">
        <x:v>18</x:v>
      </x:c>
      <x:c r="H5" t="n">
        <x:v>285</x:v>
      </x:c>
      <x:c r="I5" t="str">
        <x:v>HC dùng chung theo công đoạn; không tính đôi/giờ công riêng cho từng mã giày.</x:v>
      </x:c>
    </x:row>
    <x:row r="6">
      <x:c r="A6" s="2" t="n">
        <x:v>46268</x:v>
      </x:c>
      <x:c r="B6" t="str">
        <x:v>SOB-1632</x:v>
      </x:c>
      <x:c r="C6" t="n">
        <x:v>0</x:v>
      </x:c>
      <x:c r="D6" t="n">
        <x:v>0</x:v>
      </x:c>
      <x:c r="E6" t="n">
        <x:v>0</x:v>
      </x:c>
      <x:c r="F6" t="n">
        <x:v>72</x:v>
      </x:c>
      <x:c r="G6" t="n">
        <x:v>6</x:v>
      </x:c>
      <x:c r="H6" t="n">
        <x:v>66</x:v>
      </x:c>
      <x:c r="I6" t="str">
        <x:v>HC dùng chung theo công đoạn; không tính đôi/giờ công riêng cho từng mã giày.</x:v>
      </x:c>
    </x:row>
    <x:row r="7">
      <x:c r="A7" s="2" t="n">
        <x:v>46268</x:v>
      </x:c>
      <x:c r="B7" t="str">
        <x:v>SWB-1285-1</x:v>
      </x:c>
      <x:c r="C7" t="n">
        <x:v>26</x:v>
      </x:c>
      <x:c r="D7" t="n">
        <x:v>1</x:v>
      </x:c>
      <x:c r="E7" t="n">
        <x:v>25</x:v>
      </x:c>
      <x:c r="F7" t="n">
        <x:v>60</x:v>
      </x:c>
      <x:c r="G7" t="n">
        <x:v>9</x:v>
      </x:c>
      <x:c r="H7" t="n">
        <x:v>51</x:v>
      </x:c>
      <x:c r="I7" t="str">
        <x:v>HC dùng chung theo công đoạn; không tính đôi/giờ công riêng cho từng mã giày.</x:v>
      </x:c>
    </x:row>
    <x:row r="8">
      <x:c r="A8" s="2" t="n">
        <x:v>46269</x:v>
      </x:c>
      <x:c r="B8" t="str">
        <x:v>BBB-1698</x:v>
      </x:c>
      <x:c r="C8" t="n">
        <x:v>205</x:v>
      </x:c>
      <x:c r="D8" t="n">
        <x:v>21</x:v>
      </x:c>
      <x:c r="E8" t="n">
        <x:v>184</x:v>
      </x:c>
      <x:c r="F8" t="n">
        <x:v>198</x:v>
      </x:c>
      <x:c r="G8" t="n">
        <x:v>20</x:v>
      </x:c>
      <x:c r="H8" t="n">
        <x:v>178</x:v>
      </x:c>
      <x:c r="I8" t="str">
        <x:v>HC dùng chung theo công đoạn; không tính đôi/giờ công riêng cho từng mã giày.</x:v>
      </x:c>
    </x:row>
    <x:row r="9">
      <x:c r="A9" s="2" t="n">
        <x:v>46269</x:v>
      </x:c>
      <x:c r="B9" t="str">
        <x:v>SOB-1632</x:v>
      </x:c>
      <x:c r="C9" t="n">
        <x:v>0</x:v>
      </x:c>
      <x:c r="D9" t="n">
        <x:v>0</x:v>
      </x:c>
      <x:c r="E9" t="n">
        <x:v>0</x:v>
      </x:c>
      <x:c r="F9" t="n">
        <x:v>70</x:v>
      </x:c>
      <x:c r="G9" t="n">
        <x:v>17</x:v>
      </x:c>
      <x:c r="H9" t="n">
        <x:v>53</x:v>
      </x:c>
      <x:c r="I9" t="str">
        <x:v>HC dùng chung theo công đoạn; không tính đôi/giờ công riêng cho từng mã giày.</x:v>
      </x:c>
    </x:row>
    <x:row r="10">
      <x:c r="A10" s="2" t="n">
        <x:v>46269</x:v>
      </x:c>
      <x:c r="B10" t="str">
        <x:v>SWB-1285-1</x:v>
      </x:c>
      <x:c r="C10" t="n">
        <x:v>55</x:v>
      </x:c>
      <x:c r="D10" t="n">
        <x:v>1</x:v>
      </x:c>
      <x:c r="E10" t="n">
        <x:v>54</x:v>
      </x:c>
      <x:c r="F10" t="n">
        <x:v>38</x:v>
      </x:c>
      <x:c r="G10" t="n">
        <x:v>4</x:v>
      </x:c>
      <x:c r="H10" t="n">
        <x:v>34</x:v>
      </x:c>
      <x:c r="I10" t="str">
        <x:v>HC dùng chung theo công đoạn; không tính đôi/giờ công riêng cho từng mã giày.</x:v>
      </x:c>
    </x:row>
    <x:row r="11">
      <x:c r="A11" s="2" t="n">
        <x:v>46270</x:v>
      </x:c>
      <x:c r="B11" t="str">
        <x:v>BBB-1698</x:v>
      </x:c>
      <x:c r="C11" t="n">
        <x:v>363</x:v>
      </x:c>
      <x:c r="D11" t="n">
        <x:v>56</x:v>
      </x:c>
      <x:c r="E11" t="n">
        <x:v>307</x:v>
      </x:c>
      <x:c r="F11" t="n">
        <x:v>233</x:v>
      </x:c>
      <x:c r="G11" t="n">
        <x:v>27</x:v>
      </x:c>
      <x:c r="H11" t="n">
        <x:v>206</x:v>
      </x:c>
      <x:c r="I11" t="str">
        <x:v>HC dùng chung theo công đoạn; không tính đôi/giờ công riêng cho từng mã giày.</x:v>
      </x:c>
    </x:row>
    <x:row r="12">
      <x:c r="A12" s="2" t="n">
        <x:v>46270</x:v>
      </x:c>
      <x:c r="B12" t="str">
        <x:v>SOB-1632</x:v>
      </x:c>
      <x:c r="C12" t="n">
        <x:v>0</x:v>
      </x:c>
      <x:c r="D12" t="n">
        <x:v>0</x:v>
      </x:c>
      <x:c r="E12" t="n">
        <x:v>0</x:v>
      </x:c>
      <x:c r="F12" t="n">
        <x:v>40</x:v>
      </x:c>
      <x:c r="G12" t="n">
        <x:v>2</x:v>
      </x:c>
      <x:c r="H12" t="n">
        <x:v>38</x:v>
      </x:c>
      <x:c r="I12" t="str">
        <x:v>HC dùng chung theo công đoạn; không tính đôi/giờ công riêng cho từng mã giày.</x:v>
      </x:c>
    </x:row>
    <x:row r="13">
      <x:c r="A13" s="2" t="n">
        <x:v>46270</x:v>
      </x:c>
      <x:c r="B13" t="str">
        <x:v>SWB-1285-1</x:v>
      </x:c>
      <x:c r="C13" t="n">
        <x:v>68</x:v>
      </x:c>
      <x:c r="D13" t="n">
        <x:v>4</x:v>
      </x:c>
      <x:c r="E13" t="n">
        <x:v>64</x:v>
      </x:c>
      <x:c r="F13" t="n">
        <x:v>56</x:v>
      </x:c>
      <x:c r="G13" t="n">
        <x:v>5</x:v>
      </x:c>
      <x:c r="H13" t="n">
        <x:v>51</x:v>
      </x:c>
      <x:c r="I13" t="str">
        <x:v>HC dùng chung theo công đoạn; không tính đôi/giờ công riêng cho từng mã giày.</x:v>
      </x:c>
    </x:row>
    <x:row r="14">
      <x:c r="A14" s="2" t="n">
        <x:v>46272</x:v>
      </x:c>
      <x:c r="B14" t="str">
        <x:v>BBB-1698</x:v>
      </x:c>
      <x:c r="C14" t="n">
        <x:v>238</x:v>
      </x:c>
      <x:c r="D14" t="n">
        <x:v>18</x:v>
      </x:c>
      <x:c r="E14" t="n">
        <x:v>220</x:v>
      </x:c>
      <x:c r="F14" t="n">
        <x:v>339</x:v>
      </x:c>
      <x:c r="G14" t="n">
        <x:v>31</x:v>
      </x:c>
      <x:c r="H14" t="n">
        <x:v>308</x:v>
      </x:c>
      <x:c r="I14" t="str">
        <x:v>HC dùng chung theo công đoạn; không tính đôi/giờ công riêng cho từng mã giày.</x:v>
      </x:c>
    </x:row>
    <x:row r="15">
      <x:c r="A15" s="2" t="n">
        <x:v>46272</x:v>
      </x:c>
      <x:c r="B15" t="str">
        <x:v>SOB-1632</x:v>
      </x:c>
      <x:c r="C15" t="n">
        <x:v>0</x:v>
      </x:c>
      <x:c r="D15" t="n">
        <x:v>0</x:v>
      </x:c>
      <x:c r="E15" t="n">
        <x:v>0</x:v>
      </x:c>
      <x:c r="F15" t="n">
        <x:v>24</x:v>
      </x:c>
      <x:c r="G15" t="n">
        <x:v>0</x:v>
      </x:c>
      <x:c r="H15" t="n">
        <x:v>24</x:v>
      </x:c>
      <x:c r="I15" t="str">
        <x:v>HC dùng chung theo công đoạn; không tính đôi/giờ công riêng cho từng mã giày.</x:v>
      </x:c>
    </x:row>
    <x:row r="16">
      <x:c r="A16" s="2" t="n">
        <x:v>46272</x:v>
      </x:c>
      <x:c r="B16" t="str">
        <x:v>SWB-1285-1</x:v>
      </x:c>
      <x:c r="C16" t="n">
        <x:v>61</x:v>
      </x:c>
      <x:c r="D16" t="n">
        <x:v>2</x:v>
      </x:c>
      <x:c r="E16" t="n">
        <x:v>59</x:v>
      </x:c>
      <x:c r="F16" t="n">
        <x:v>53</x:v>
      </x:c>
      <x:c r="G16" t="n">
        <x:v>4</x:v>
      </x:c>
      <x:c r="H16" t="n">
        <x:v>49</x:v>
      </x:c>
      <x:c r="I16" t="str">
        <x:v>HC dùng chung theo công đoạn; không tính đôi/giờ công riêng cho từng mã giày.</x:v>
      </x:c>
    </x:row>
    <x:row r="17">
      <x:c r="A17" s="2" t="n">
        <x:v>46273</x:v>
      </x:c>
      <x:c r="B17" t="str">
        <x:v>BBB-1698</x:v>
      </x:c>
      <x:c r="C17" t="n">
        <x:v>153</x:v>
      </x:c>
      <x:c r="D17" t="n">
        <x:v>10</x:v>
      </x:c>
      <x:c r="E17" t="n">
        <x:v>143</x:v>
      </x:c>
      <x:c r="F17" t="n">
        <x:v>289</x:v>
      </x:c>
      <x:c r="G17" t="n">
        <x:v>17</x:v>
      </x:c>
      <x:c r="H17" t="n">
        <x:v>272</x:v>
      </x:c>
      <x:c r="I17" t="str">
        <x:v>HC dùng chung theo công đoạn; không tính đôi/giờ công riêng cho từng mã giày.</x:v>
      </x:c>
    </x:row>
    <x:row r="18">
      <x:c r="A18" s="2" t="n">
        <x:v>46273</x:v>
      </x:c>
      <x:c r="B18" t="str">
        <x:v>SOB-1632</x:v>
      </x:c>
      <x:c r="C18" t="n">
        <x:v>0</x:v>
      </x:c>
      <x:c r="D18" t="n">
        <x:v>0</x:v>
      </x:c>
      <x:c r="E18" t="n">
        <x:v>0</x:v>
      </x:c>
      <x:c r="F18" t="n">
        <x:v>58</x:v>
      </x:c>
      <x:c r="G18" t="n">
        <x:v>8</x:v>
      </x:c>
      <x:c r="H18" t="n">
        <x:v>50</x:v>
      </x:c>
      <x:c r="I18" t="str">
        <x:v>HC dùng chung theo công đoạn; không tính đôi/giờ công riêng cho từng mã giày.</x:v>
      </x:c>
    </x:row>
    <x:row r="19">
      <x:c r="A19" s="2" t="n">
        <x:v>46273</x:v>
      </x:c>
      <x:c r="B19" t="str">
        <x:v>SWB-1285-1</x:v>
      </x:c>
      <x:c r="C19" t="n">
        <x:v>57</x:v>
      </x:c>
      <x:c r="D19" t="n">
        <x:v>23</x:v>
      </x:c>
      <x:c r="E19" t="n">
        <x:v>34</x:v>
      </x:c>
      <x:c r="F19" t="n">
        <x:v>23</x:v>
      </x:c>
      <x:c r="G19" t="n">
        <x:v>10</x:v>
      </x:c>
      <x:c r="H19" t="n">
        <x:v>13</x:v>
      </x:c>
      <x:c r="I19" t="str">
        <x:v>HC dùng chung theo công đoạn; không tính đôi/giờ công riêng cho từng mã giày.</x:v>
      </x:c>
    </x:row>
    <x:row r="20">
      <x:c r="A20" s="2" t="n">
        <x:v>46274</x:v>
      </x:c>
      <x:c r="B20" t="str">
        <x:v>BBB-1698</x:v>
      </x:c>
      <x:c r="C20" t="n">
        <x:v>256</x:v>
      </x:c>
      <x:c r="D20" t="n">
        <x:v>17</x:v>
      </x:c>
      <x:c r="E20" t="n">
        <x:v>239</x:v>
      </x:c>
      <x:c r="F20" t="n">
        <x:v>176</x:v>
      </x:c>
      <x:c r="G20" t="n">
        <x:v>24</x:v>
      </x:c>
      <x:c r="H20" t="n">
        <x:v>152</x:v>
      </x:c>
      <x:c r="I20" t="str">
        <x:v>HC dùng chung theo công đoạn; không tính đôi/giờ công riêng cho từng mã giày.</x:v>
      </x:c>
    </x:row>
    <x:row r="21">
      <x:c r="A21" s="2" t="n">
        <x:v>46274</x:v>
      </x:c>
      <x:c r="B21" t="str">
        <x:v>SOB-1632</x:v>
      </x:c>
      <x:c r="C21" t="n">
        <x:v>0</x:v>
      </x:c>
      <x:c r="D21" t="n">
        <x:v>0</x:v>
      </x:c>
      <x:c r="E21" t="n">
        <x:v>0</x:v>
      </x:c>
      <x:c r="F21" t="n">
        <x:v>75</x:v>
      </x:c>
      <x:c r="G21" t="n">
        <x:v>8</x:v>
      </x:c>
      <x:c r="H21" t="n">
        <x:v>67</x:v>
      </x:c>
      <x:c r="I21" t="str">
        <x:v>HC dùng chung theo công đoạn; không tính đôi/giờ công riêng cho từng mã giày.</x:v>
      </x:c>
    </x:row>
    <x:row r="22">
      <x:c r="A22" s="2" t="n">
        <x:v>46274</x:v>
      </x:c>
      <x:c r="B22" t="str">
        <x:v>SWB-1285-1</x:v>
      </x:c>
      <x:c r="C22" t="n">
        <x:v>74</x:v>
      </x:c>
      <x:c r="D22" t="n">
        <x:v>16</x:v>
      </x:c>
      <x:c r="E22" t="n">
        <x:v>58</x:v>
      </x:c>
      <x:c r="F22" t="n">
        <x:v>77</x:v>
      </x:c>
      <x:c r="G22" t="n">
        <x:v>9</x:v>
      </x:c>
      <x:c r="H22" t="n">
        <x:v>68</x:v>
      </x:c>
      <x:c r="I22" t="str">
        <x:v>HC dùng chung theo công đoạn; không tính đôi/giờ công riêng cho từng mã giày.</x:v>
      </x:c>
    </x:row>
    <x:row r="23">
      <x:c r="A23" s="2" t="n">
        <x:v>46275</x:v>
      </x:c>
      <x:c r="B23" t="str">
        <x:v>BBB-1698</x:v>
      </x:c>
      <x:c r="C23" t="n">
        <x:v>270</x:v>
      </x:c>
      <x:c r="D23" t="n">
        <x:v>68</x:v>
      </x:c>
      <x:c r="E23" t="n">
        <x:v>202</x:v>
      </x:c>
      <x:c r="F23" t="n">
        <x:v>234</x:v>
      </x:c>
      <x:c r="G23" t="n">
        <x:v>18</x:v>
      </x:c>
      <x:c r="H23" t="n">
        <x:v>216</x:v>
      </x:c>
      <x:c r="I23" t="str">
        <x:v>HC dùng chung theo công đoạn; không tính đôi/giờ công riêng cho từng mã giày.</x:v>
      </x:c>
    </x:row>
    <x:row r="24">
      <x:c r="A24" s="2" t="n">
        <x:v>46275</x:v>
      </x:c>
      <x:c r="B24" t="str">
        <x:v>SOB-1632</x:v>
      </x:c>
      <x:c r="C24" t="n">
        <x:v>0</x:v>
      </x:c>
      <x:c r="D24" t="n">
        <x:v>0</x:v>
      </x:c>
      <x:c r="E24" t="n">
        <x:v>0</x:v>
      </x:c>
      <x:c r="F24" t="n">
        <x:v>23</x:v>
      </x:c>
      <x:c r="G24" t="n">
        <x:v>2</x:v>
      </x:c>
      <x:c r="H24" t="n">
        <x:v>21</x:v>
      </x:c>
      <x:c r="I24" t="str">
        <x:v>HC dùng chung theo công đoạn; không tính đôi/giờ công riêng cho từng mã giày.</x:v>
      </x:c>
    </x:row>
    <x:row r="25">
      <x:c r="A25" s="2" t="n">
        <x:v>46275</x:v>
      </x:c>
      <x:c r="B25" t="str">
        <x:v>SWB-1285-1</x:v>
      </x:c>
      <x:c r="C25" t="n">
        <x:v>79</x:v>
      </x:c>
      <x:c r="D25" t="n">
        <x:v>7</x:v>
      </x:c>
      <x:c r="E25" t="n">
        <x:v>72</x:v>
      </x:c>
      <x:c r="F25" t="n">
        <x:v>91</x:v>
      </x:c>
      <x:c r="G25" t="n">
        <x:v>7</x:v>
      </x:c>
      <x:c r="H25" t="n">
        <x:v>84</x:v>
      </x:c>
      <x:c r="I25" t="str">
        <x:v>HC dùng chung theo công đoạn; không tính đôi/giờ công riêng cho từng mã giày.</x:v>
      </x:c>
    </x:row>
    <x:row r="26">
      <x:c r="A26" s="2" t="n">
        <x:v>46276</x:v>
      </x:c>
      <x:c r="B26" t="str">
        <x:v>BBB-1698</x:v>
      </x:c>
      <x:c r="C26" t="n">
        <x:v>340</x:v>
      </x:c>
      <x:c r="D26" t="n">
        <x:v>39</x:v>
      </x:c>
      <x:c r="E26" t="n">
        <x:v>301</x:v>
      </x:c>
      <x:c r="F26" t="n">
        <x:v>249</x:v>
      </x:c>
      <x:c r="G26" t="n">
        <x:v>23</x:v>
      </x:c>
      <x:c r="H26" t="n">
        <x:v>226</x:v>
      </x:c>
      <x:c r="I26" t="str">
        <x:v>HC dùng chung theo công đoạn; không tính đôi/giờ công riêng cho từng mã giày.</x:v>
      </x:c>
    </x:row>
    <x:row r="27">
      <x:c r="A27" s="2" t="n">
        <x:v>46276</x:v>
      </x:c>
      <x:c r="B27" t="str">
        <x:v>SOB-1632</x:v>
      </x:c>
      <x:c r="C27" t="n">
        <x:v>0</x:v>
      </x:c>
      <x:c r="D27" t="n">
        <x:v>0</x:v>
      </x:c>
      <x:c r="E27" t="n">
        <x:v>0</x:v>
      </x:c>
      <x:c r="F27" t="n">
        <x:v>49</x:v>
      </x:c>
      <x:c r="G27" t="n">
        <x:v>1</x:v>
      </x:c>
      <x:c r="H27" t="n">
        <x:v>48</x:v>
      </x:c>
      <x:c r="I27" t="str">
        <x:v>HC dùng chung theo công đoạn; không tính đôi/giờ công riêng cho từng mã giày.</x:v>
      </x:c>
    </x:row>
    <x:row r="28">
      <x:c r="A28" s="2" t="n">
        <x:v>46276</x:v>
      </x:c>
      <x:c r="B28" t="str">
        <x:v>SWB-1285-1</x:v>
      </x:c>
      <x:c r="C28" t="n">
        <x:v>55</x:v>
      </x:c>
      <x:c r="D28" t="n">
        <x:v>22</x:v>
      </x:c>
      <x:c r="E28" t="n">
        <x:v>33</x:v>
      </x:c>
      <x:c r="F28" t="n">
        <x:v>75</x:v>
      </x:c>
      <x:c r="G28" t="n">
        <x:v>5</x:v>
      </x:c>
      <x:c r="H28" t="n">
        <x:v>70</x:v>
      </x:c>
      <x:c r="I28" t="str">
        <x:v>HC dùng chung theo công đoạn; không tính đôi/giờ công riêng cho từng mã giày.</x:v>
      </x:c>
    </x:row>
    <x:row r="29">
      <x:c r="A29" s="2" t="n">
        <x:v>46277</x:v>
      </x:c>
      <x:c r="B29" t="str">
        <x:v>BBB-1698</x:v>
      </x:c>
      <x:c r="C29" t="n">
        <x:v>320</x:v>
      </x:c>
      <x:c r="D29" t="n">
        <x:v>38</x:v>
      </x:c>
      <x:c r="E29" t="n">
        <x:v>282</x:v>
      </x:c>
      <x:c r="F29" t="n">
        <x:v>314</x:v>
      </x:c>
      <x:c r="G29" t="n">
        <x:v>37</x:v>
      </x:c>
      <x:c r="H29" t="n">
        <x:v>277</x:v>
      </x:c>
      <x:c r="I29" t="str">
        <x:v>HC dùng chung theo công đoạn; không tính đôi/giờ công riêng cho từng mã giày.</x:v>
      </x:c>
    </x:row>
    <x:row r="30">
      <x:c r="A30" s="2" t="n">
        <x:v>46277</x:v>
      </x:c>
      <x:c r="B30" t="str">
        <x:v>SOB-1632</x:v>
      </x:c>
      <x:c r="C30" t="n">
        <x:v>0</x:v>
      </x:c>
      <x:c r="D30" t="n">
        <x:v>0</x:v>
      </x:c>
      <x:c r="E30" t="n">
        <x:v>0</x:v>
      </x:c>
      <x:c r="F30" t="n">
        <x:v>24</x:v>
      </x:c>
      <x:c r="G30" t="n">
        <x:v>2</x:v>
      </x:c>
      <x:c r="H30" t="n">
        <x:v>22</x:v>
      </x:c>
      <x:c r="I30" t="str">
        <x:v>HC dùng chung theo công đoạn; không tính đôi/giờ công riêng cho từng mã giày.</x:v>
      </x:c>
    </x:row>
    <x:row r="31">
      <x:c r="A31" s="2" t="n">
        <x:v>46277</x:v>
      </x:c>
      <x:c r="B31" t="str">
        <x:v>SWB-1285-1</x:v>
      </x:c>
      <x:c r="C31" t="n">
        <x:v>43</x:v>
      </x:c>
      <x:c r="D31" t="n">
        <x:v>0</x:v>
      </x:c>
      <x:c r="E31" t="n">
        <x:v>43</x:v>
      </x:c>
      <x:c r="F31" t="n">
        <x:v>63</x:v>
      </x:c>
      <x:c r="G31" t="n">
        <x:v>3</x:v>
      </x:c>
      <x:c r="H31" t="n">
        <x:v>60</x:v>
      </x:c>
      <x:c r="I31" t="str">
        <x:v>HC dùng chung theo công đoạn; không tính đôi/giờ công riêng cho từng mã giày.</x:v>
      </x:c>
    </x:row>
    <x:row r="32">
      <x:c r="A32" s="2" t="n">
        <x:v>46279</x:v>
      </x:c>
      <x:c r="B32" t="str">
        <x:v>BBB-1698</x:v>
      </x:c>
      <x:c r="C32" t="n">
        <x:v>321</x:v>
      </x:c>
      <x:c r="D32" t="n">
        <x:v>65</x:v>
      </x:c>
      <x:c r="E32" t="n">
        <x:v>256</x:v>
      </x:c>
      <x:c r="F32" t="n">
        <x:v>371</x:v>
      </x:c>
      <x:c r="G32" t="n">
        <x:v>45</x:v>
      </x:c>
      <x:c r="H32" t="n">
        <x:v>326</x:v>
      </x:c>
      <x:c r="I32" t="str">
        <x:v>HC dùng chung theo công đoạn; không tính đôi/giờ công riêng cho từng mã giày.</x:v>
      </x:c>
    </x:row>
    <x:row r="33">
      <x:c r="A33" s="2" t="n">
        <x:v>46279</x:v>
      </x:c>
      <x:c r="B33" t="str">
        <x:v>SOB-1632</x:v>
      </x:c>
      <x:c r="C33" t="n">
        <x:v>0</x:v>
      </x:c>
      <x:c r="D33" t="n">
        <x:v>0</x:v>
      </x:c>
      <x:c r="E33" t="n">
        <x:v>0</x:v>
      </x:c>
      <x:c r="F33" t="n">
        <x:v>32</x:v>
      </x:c>
      <x:c r="G33" t="n">
        <x:v>17</x:v>
      </x:c>
      <x:c r="H33" t="n">
        <x:v>15</x:v>
      </x:c>
      <x:c r="I33" t="str">
        <x:v>HC dùng chung theo công đoạn; không tính đôi/giờ công riêng cho từng mã giày.</x:v>
      </x:c>
    </x:row>
    <x:row r="34">
      <x:c r="A34" s="2" t="n">
        <x:v>46279</x:v>
      </x:c>
      <x:c r="B34" t="str">
        <x:v>SWB-1285-1</x:v>
      </x:c>
      <x:c r="C34" t="n">
        <x:v>55</x:v>
      </x:c>
      <x:c r="D34" t="n">
        <x:v>22</x:v>
      </x:c>
      <x:c r="E34" t="n">
        <x:v>33</x:v>
      </x:c>
      <x:c r="F34" t="n">
        <x:v>63</x:v>
      </x:c>
      <x:c r="G34" t="n">
        <x:v>12</x:v>
      </x:c>
      <x:c r="H34" t="n">
        <x:v>51</x:v>
      </x:c>
      <x:c r="I34" t="str">
        <x:v>HC dùng chung theo công đoạn; không tính đôi/giờ công riêng cho từng mã giày.</x:v>
      </x:c>
    </x:row>
    <x:row r="35">
      <x:c r="A35" s="2" t="n">
        <x:v>46280</x:v>
      </x:c>
      <x:c r="B35" t="str">
        <x:v>BBB-1698</x:v>
      </x:c>
      <x:c r="C35" t="n">
        <x:v>340</x:v>
      </x:c>
      <x:c r="D35" t="n">
        <x:v>52</x:v>
      </x:c>
      <x:c r="E35" t="n">
        <x:v>288</x:v>
      </x:c>
      <x:c r="F35" t="n">
        <x:v>236</x:v>
      </x:c>
      <x:c r="G35" t="n">
        <x:v>10</x:v>
      </x:c>
      <x:c r="H35" t="n">
        <x:v>226</x:v>
      </x:c>
      <x:c r="I35" t="str">
        <x:v>HC dùng chung theo công đoạn; không tính đôi/giờ công riêng cho từng mã giày.</x:v>
      </x:c>
    </x:row>
    <x:row r="36">
      <x:c r="A36" s="2" t="n">
        <x:v>46280</x:v>
      </x:c>
      <x:c r="B36" t="str">
        <x:v>SOB-1632</x:v>
      </x:c>
      <x:c r="C36" t="n">
        <x:v>0</x:v>
      </x:c>
      <x:c r="D36" t="n">
        <x:v>0</x:v>
      </x:c>
      <x:c r="E36" t="n">
        <x:v>0</x:v>
      </x:c>
      <x:c r="F36" t="n">
        <x:v>34</x:v>
      </x:c>
      <x:c r="G36" t="n">
        <x:v>2</x:v>
      </x:c>
      <x:c r="H36" t="n">
        <x:v>32</x:v>
      </x:c>
      <x:c r="I36" t="str">
        <x:v>HC dùng chung theo công đoạn; không tính đôi/giờ công riêng cho từng mã giày.</x:v>
      </x:c>
    </x:row>
    <x:row r="37">
      <x:c r="A37" s="2" t="n">
        <x:v>46280</x:v>
      </x:c>
      <x:c r="B37" t="str">
        <x:v>SWB-1285-1</x:v>
      </x:c>
      <x:c r="C37" t="n">
        <x:v>67</x:v>
      </x:c>
      <x:c r="D37" t="n">
        <x:v>2</x:v>
      </x:c>
      <x:c r="E37" t="n">
        <x:v>65</x:v>
      </x:c>
      <x:c r="F37" t="n">
        <x:v>32</x:v>
      </x:c>
      <x:c r="G37" t="n">
        <x:v>2</x:v>
      </x:c>
      <x:c r="H37" t="n">
        <x:v>30</x:v>
      </x:c>
      <x:c r="I37" t="str">
        <x:v>HC dùng chung theo công đoạn; không tính đôi/giờ công riêng cho từng mã giày.</x:v>
      </x:c>
    </x:row>
    <x:row r="38">
      <x:c r="A38" s="2" t="n">
        <x:v>46281</x:v>
      </x:c>
      <x:c r="B38" t="str">
        <x:v>BBB-1698</x:v>
      </x:c>
      <x:c r="C38" t="n">
        <x:v>350</x:v>
      </x:c>
      <x:c r="D38" t="n">
        <x:v>52</x:v>
      </x:c>
      <x:c r="E38" t="n">
        <x:v>298</x:v>
      </x:c>
      <x:c r="F38" t="n">
        <x:v>382</x:v>
      </x:c>
      <x:c r="G38" t="n">
        <x:v>41</x:v>
      </x:c>
      <x:c r="H38" t="n">
        <x:v>341</x:v>
      </x:c>
      <x:c r="I38" t="str">
        <x:v>HC dùng chung theo công đoạn; không tính đôi/giờ công riêng cho từng mã giày.</x:v>
      </x:c>
    </x:row>
    <x:row r="39">
      <x:c r="A39" s="2" t="n">
        <x:v>46281</x:v>
      </x:c>
      <x:c r="B39" t="str">
        <x:v>SOB-1632</x:v>
      </x:c>
      <x:c r="C39" t="n">
        <x:v>0</x:v>
      </x:c>
      <x:c r="D39" t="n">
        <x:v>0</x:v>
      </x:c>
      <x:c r="E39" t="n">
        <x:v>0</x:v>
      </x:c>
      <x:c r="F39" t="n">
        <x:v>39</x:v>
      </x:c>
      <x:c r="G39" t="n">
        <x:v>2</x:v>
      </x:c>
      <x:c r="H39" t="n">
        <x:v>37</x:v>
      </x:c>
      <x:c r="I39" t="str">
        <x:v>HC dùng chung theo công đoạn; không tính đôi/giờ công riêng cho từng mã giày.</x:v>
      </x:c>
    </x:row>
    <x:row r="40">
      <x:c r="A40" s="2" t="n">
        <x:v>46281</x:v>
      </x:c>
      <x:c r="B40" t="str">
        <x:v>SWB-1285-1</x:v>
      </x:c>
      <x:c r="C40" t="n">
        <x:v>94</x:v>
      </x:c>
      <x:c r="D40" t="n">
        <x:v>12</x:v>
      </x:c>
      <x:c r="E40" t="n">
        <x:v>82</x:v>
      </x:c>
      <x:c r="F40" t="n">
        <x:v>66</x:v>
      </x:c>
      <x:c r="G40" t="n">
        <x:v>5</x:v>
      </x:c>
      <x:c r="H40" t="n">
        <x:v>61</x:v>
      </x:c>
      <x:c r="I40" t="str">
        <x:v>HC dùng chung theo công đoạn; không tính đôi/giờ công riêng cho từng mã giày.</x:v>
      </x:c>
    </x:row>
    <x:row r="41">
      <x:c r="A41" s="2" t="n">
        <x:v>46282</x:v>
      </x:c>
      <x:c r="B41" t="str">
        <x:v>BBB-1698</x:v>
      </x:c>
      <x:c r="C41" t="n">
        <x:v>370</x:v>
      </x:c>
      <x:c r="D41" t="n">
        <x:v>96</x:v>
      </x:c>
      <x:c r="E41" t="n">
        <x:v>274</x:v>
      </x:c>
      <x:c r="F41" t="n">
        <x:v>326</x:v>
      </x:c>
      <x:c r="G41" t="n">
        <x:v>38</x:v>
      </x:c>
      <x:c r="H41" t="n">
        <x:v>288</x:v>
      </x:c>
      <x:c r="I41" t="str">
        <x:v>HC dùng chung theo công đoạn; không tính đôi/giờ công riêng cho từng mã giày.</x:v>
      </x:c>
    </x:row>
    <x:row r="42">
      <x:c r="A42" s="2" t="n">
        <x:v>46282</x:v>
      </x:c>
      <x:c r="B42" t="str">
        <x:v>SOB-1632</x:v>
      </x:c>
      <x:c r="C42" t="n">
        <x:v>0</x:v>
      </x:c>
      <x:c r="D42" t="n">
        <x:v>0</x:v>
      </x:c>
      <x:c r="E42" t="n">
        <x:v>0</x:v>
      </x:c>
      <x:c r="F42" t="n">
        <x:v>39</x:v>
      </x:c>
      <x:c r="G42" t="n">
        <x:v>0</x:v>
      </x:c>
      <x:c r="H42" t="n">
        <x:v>39</x:v>
      </x:c>
      <x:c r="I42" t="str">
        <x:v>HC dùng chung theo công đoạn; không tính đôi/giờ công riêng cho từng mã giày.</x:v>
      </x:c>
    </x:row>
    <x:row r="43">
      <x:c r="A43" s="2" t="n">
        <x:v>46282</x:v>
      </x:c>
      <x:c r="B43" t="str">
        <x:v>SWB-1285-1</x:v>
      </x:c>
      <x:c r="C43" t="n">
        <x:v>27</x:v>
      </x:c>
      <x:c r="D43" t="n">
        <x:v>16</x:v>
      </x:c>
      <x:c r="E43" t="n">
        <x:v>11</x:v>
      </x:c>
      <x:c r="F43" t="n">
        <x:v>51</x:v>
      </x:c>
      <x:c r="G43" t="n">
        <x:v>11</x:v>
      </x:c>
      <x:c r="H43" t="n">
        <x:v>40</x:v>
      </x:c>
      <x:c r="I43" t="str">
        <x:v>HC dùng chung theo công đoạn; không tính đôi/giờ công riêng cho từng mã giày.</x:v>
      </x:c>
    </x:row>
    <x:row r="44">
      <x:c r="A44" s="2" t="n">
        <x:v>46283</x:v>
      </x:c>
      <x:c r="B44" t="str">
        <x:v>BBB-1698</x:v>
      </x:c>
      <x:c r="C44" t="n">
        <x:v>370</x:v>
      </x:c>
      <x:c r="D44" t="n">
        <x:v>122</x:v>
      </x:c>
      <x:c r="E44" t="n">
        <x:v>248</x:v>
      </x:c>
      <x:c r="F44" t="n">
        <x:v>403</x:v>
      </x:c>
      <x:c r="G44" t="n">
        <x:v>38</x:v>
      </x:c>
      <x:c r="H44" t="n">
        <x:v>365</x:v>
      </x:c>
      <x:c r="I44" t="str">
        <x:v>HC dùng chung theo công đoạn; không tính đôi/giờ công riêng cho từng mã giày.</x:v>
      </x:c>
    </x:row>
    <x:row r="45">
      <x:c r="A45" s="2" t="n">
        <x:v>46283</x:v>
      </x:c>
      <x:c r="B45" t="str">
        <x:v>SOB-1632</x:v>
      </x:c>
      <x:c r="C45" t="n">
        <x:v>0</x:v>
      </x:c>
      <x:c r="D45" t="n">
        <x:v>0</x:v>
      </x:c>
      <x:c r="E45" t="n">
        <x:v>0</x:v>
      </x:c>
      <x:c r="F45" t="n">
        <x:v>24</x:v>
      </x:c>
      <x:c r="G45" t="n">
        <x:v>0</x:v>
      </x:c>
      <x:c r="H45" t="n">
        <x:v>24</x:v>
      </x:c>
      <x:c r="I45" t="str">
        <x:v>HC dùng chung theo công đoạn; không tính đôi/giờ công riêng cho từng mã giày.</x:v>
      </x:c>
    </x:row>
    <x:row r="46">
      <x:c r="A46" s="2" t="n">
        <x:v>46283</x:v>
      </x:c>
      <x:c r="B46" t="str">
        <x:v>SWB-1285-1</x:v>
      </x:c>
      <x:c r="C46" t="n">
        <x:v>60</x:v>
      </x:c>
      <x:c r="D46" t="n">
        <x:v>17</x:v>
      </x:c>
      <x:c r="E46" t="n">
        <x:v>43</x:v>
      </x:c>
      <x:c r="F46" t="n">
        <x:v>73</x:v>
      </x:c>
      <x:c r="G46" t="n">
        <x:v>3</x:v>
      </x:c>
      <x:c r="H46" t="n">
        <x:v>70</x:v>
      </x:c>
      <x:c r="I46" t="str">
        <x:v>HC dùng chung theo công đoạn; không tính đôi/giờ công riêng cho từng mã giày.</x:v>
      </x:c>
    </x:row>
    <x:row r="47">
      <x:c r="A47" s="2" t="n">
        <x:v>46284</x:v>
      </x:c>
      <x:c r="B47" t="str">
        <x:v>BBB-1698</x:v>
      </x:c>
      <x:c r="C47" t="n">
        <x:v>360</x:v>
      </x:c>
      <x:c r="D47" t="n">
        <x:v>115</x:v>
      </x:c>
      <x:c r="E47" t="n">
        <x:v>245</x:v>
      </x:c>
      <x:c r="F47" t="n">
        <x:v>263</x:v>
      </x:c>
      <x:c r="G47" t="n">
        <x:v>55</x:v>
      </x:c>
      <x:c r="H47" t="n">
        <x:v>208</x:v>
      </x:c>
      <x:c r="I47" t="str">
        <x:v>HC dùng chung theo công đoạn; không tính đôi/giờ công riêng cho từng mã giày.</x:v>
      </x:c>
    </x:row>
    <x:row r="48">
      <x:c r="A48" s="2" t="n">
        <x:v>46284</x:v>
      </x:c>
      <x:c r="B48" t="str">
        <x:v>SOB-1632</x:v>
      </x:c>
      <x:c r="C48" t="n">
        <x:v>0</x:v>
      </x:c>
      <x:c r="D48" t="n">
        <x:v>0</x:v>
      </x:c>
      <x:c r="E48" t="n">
        <x:v>0</x:v>
      </x:c>
      <x:c r="F48" t="n">
        <x:v>24</x:v>
      </x:c>
      <x:c r="G48" t="n">
        <x:v>9</x:v>
      </x:c>
      <x:c r="H48" t="n">
        <x:v>15</x:v>
      </x:c>
      <x:c r="I48" t="str">
        <x:v>HC dùng chung theo công đoạn; không tính đôi/giờ công riêng cho từng mã giày.</x:v>
      </x:c>
    </x:row>
    <x:row r="49">
      <x:c r="A49" s="2" t="n">
        <x:v>46284</x:v>
      </x:c>
      <x:c r="B49" t="str">
        <x:v>SWB-1285-1</x:v>
      </x:c>
      <x:c r="C49" t="n">
        <x:v>44</x:v>
      </x:c>
      <x:c r="D49" t="n">
        <x:v>14</x:v>
      </x:c>
      <x:c r="E49" t="n">
        <x:v>30</x:v>
      </x:c>
      <x:c r="F49" t="n">
        <x:v>67</x:v>
      </x:c>
      <x:c r="G49" t="n">
        <x:v>14</x:v>
      </x:c>
      <x:c r="H49" t="n">
        <x:v>53</x:v>
      </x:c>
      <x:c r="I49" t="str">
        <x:v>HC dùng chung theo công đoạn; không tính đôi/giờ công riêng cho từng mã giày.</x:v>
      </x:c>
    </x:row>
    <x:row r="50">
      <x:c r="A50" s="2" t="n">
        <x:v>46286</x:v>
      </x:c>
      <x:c r="B50" t="str">
        <x:v>BBB-1698</x:v>
      </x:c>
      <x:c r="C50" t="n">
        <x:v>360</x:v>
      </x:c>
      <x:c r="D50" t="n">
        <x:v>77</x:v>
      </x:c>
      <x:c r="E50" t="n">
        <x:v>283</x:v>
      </x:c>
      <x:c r="F50" t="n">
        <x:v>304</x:v>
      </x:c>
      <x:c r="G50" t="n">
        <x:v>26</x:v>
      </x:c>
      <x:c r="H50" t="n">
        <x:v>278</x:v>
      </x:c>
      <x:c r="I50" t="str">
        <x:v>HC dùng chung theo công đoạn; không tính đôi/giờ công riêng cho từng mã giày.</x:v>
      </x:c>
    </x:row>
    <x:row r="51">
      <x:c r="A51" s="2" t="n">
        <x:v>46286</x:v>
      </x:c>
      <x:c r="B51" t="str">
        <x:v>SOB-1632</x:v>
      </x:c>
      <x:c r="C51" t="n">
        <x:v>0</x:v>
      </x:c>
      <x:c r="D51" t="n">
        <x:v>0</x:v>
      </x:c>
      <x:c r="E51" t="n">
        <x:v>0</x:v>
      </x:c>
      <x:c r="F51" t="n">
        <x:v>39</x:v>
      </x:c>
      <x:c r="G51" t="n">
        <x:v>9</x:v>
      </x:c>
      <x:c r="H51" t="n">
        <x:v>30</x:v>
      </x:c>
      <x:c r="I51" t="str">
        <x:v>HC dùng chung theo công đoạn; không tính đôi/giờ công riêng cho từng mã giày.</x:v>
      </x:c>
    </x:row>
    <x:row r="52">
      <x:c r="A52" s="2" t="n">
        <x:v>46286</x:v>
      </x:c>
      <x:c r="B52" t="str">
        <x:v>SWB-1285-1</x:v>
      </x:c>
      <x:c r="C52" t="n">
        <x:v>65</x:v>
      </x:c>
      <x:c r="D52" t="n">
        <x:v>19</x:v>
      </x:c>
      <x:c r="E52" t="n">
        <x:v>46</x:v>
      </x:c>
      <x:c r="F52" t="n">
        <x:v>47</x:v>
      </x:c>
      <x:c r="G52" t="n">
        <x:v>6</x:v>
      </x:c>
      <x:c r="H52" t="n">
        <x:v>41</x:v>
      </x:c>
      <x:c r="I52" t="str">
        <x:v>HC dùng chung theo công đoạn; không tính đôi/giờ công riêng cho từng mã giày.</x:v>
      </x:c>
    </x:row>
    <x:row r="53">
      <x:c r="A53" s="2" t="n">
        <x:v>46287</x:v>
      </x:c>
      <x:c r="B53" t="str">
        <x:v>BBB-1698</x:v>
      </x:c>
      <x:c r="C53" t="n">
        <x:v>370</x:v>
      </x:c>
      <x:c r="D53" t="n">
        <x:v>78</x:v>
      </x:c>
      <x:c r="E53" t="n">
        <x:v>292</x:v>
      </x:c>
      <x:c r="F53" t="n">
        <x:v>464</x:v>
      </x:c>
      <x:c r="G53" t="n">
        <x:v>72</x:v>
      </x:c>
      <x:c r="H53" t="n">
        <x:v>392</x:v>
      </x:c>
      <x:c r="I53" t="str">
        <x:v>HC dùng chung theo công đoạn; không tính đôi/giờ công riêng cho từng mã giày.</x:v>
      </x:c>
    </x:row>
    <x:row r="54">
      <x:c r="A54" s="2" t="n">
        <x:v>46287</x:v>
      </x:c>
      <x:c r="B54" t="str">
        <x:v>SOB-1632</x:v>
      </x:c>
      <x:c r="C54" t="n">
        <x:v>0</x:v>
      </x:c>
      <x:c r="D54" t="n">
        <x:v>0</x:v>
      </x:c>
      <x:c r="E54" t="n">
        <x:v>0</x:v>
      </x:c>
      <x:c r="F54" t="n">
        <x:v>41</x:v>
      </x:c>
      <x:c r="G54" t="n">
        <x:v>3</x:v>
      </x:c>
      <x:c r="H54" t="n">
        <x:v>38</x:v>
      </x:c>
      <x:c r="I54" t="str">
        <x:v>HC dùng chung theo công đoạn; không tính đôi/giờ công riêng cho từng mã giày.</x:v>
      </x:c>
    </x:row>
    <x:row r="55">
      <x:c r="A55" s="2" t="n">
        <x:v>46287</x:v>
      </x:c>
      <x:c r="B55" t="str">
        <x:v>SWB-1285-1</x:v>
      </x:c>
      <x:c r="C55" t="n">
        <x:v>57</x:v>
      </x:c>
      <x:c r="D55" t="n">
        <x:v>5</x:v>
      </x:c>
      <x:c r="E55" t="n">
        <x:v>52</x:v>
      </x:c>
      <x:c r="F55" t="n">
        <x:v>45</x:v>
      </x:c>
      <x:c r="G55" t="n">
        <x:v>5</x:v>
      </x:c>
      <x:c r="H55" t="n">
        <x:v>40</x:v>
      </x:c>
      <x:c r="I55" t="str">
        <x:v>HC dùng chung theo công đoạn; không tính đôi/giờ công riêng cho từng mã giày.</x:v>
      </x:c>
    </x:row>
    <x:row r="56">
      <x:c r="A56" s="2" t="n">
        <x:v>46288</x:v>
      </x:c>
      <x:c r="B56" t="str">
        <x:v>BBB-1698</x:v>
      </x:c>
      <x:c r="C56" t="n">
        <x:v>380</x:v>
      </x:c>
      <x:c r="D56" t="n">
        <x:v>73</x:v>
      </x:c>
      <x:c r="E56" t="n">
        <x:v>307</x:v>
      </x:c>
      <x:c r="F56" t="n">
        <x:v>262</x:v>
      </x:c>
      <x:c r="G56" t="n">
        <x:v>30</x:v>
      </x:c>
      <x:c r="H56" t="n">
        <x:v>232</x:v>
      </x:c>
      <x:c r="I56" t="str">
        <x:v>HC dùng chung theo công đoạn; không tính đôi/giờ công riêng cho từng mã giày.</x:v>
      </x:c>
    </x:row>
    <x:row r="57">
      <x:c r="A57" s="2" t="n">
        <x:v>46288</x:v>
      </x:c>
      <x:c r="B57" t="str">
        <x:v>SOB-1632</x:v>
      </x:c>
      <x:c r="C57" t="n">
        <x:v>0</x:v>
      </x:c>
      <x:c r="D57" t="n">
        <x:v>0</x:v>
      </x:c>
      <x:c r="E57" t="n">
        <x:v>0</x:v>
      </x:c>
      <x:c r="F57" t="n">
        <x:v>23</x:v>
      </x:c>
      <x:c r="G57" t="n">
        <x:v>0</x:v>
      </x:c>
      <x:c r="H57" t="n">
        <x:v>23</x:v>
      </x:c>
      <x:c r="I57" t="str">
        <x:v>HC dùng chung theo công đoạn; không tính đôi/giờ công riêng cho từng mã giày.</x:v>
      </x:c>
    </x:row>
    <x:row r="58">
      <x:c r="A58" s="2" t="n">
        <x:v>46288</x:v>
      </x:c>
      <x:c r="B58" t="str">
        <x:v>SWB-1285-1</x:v>
      </x:c>
      <x:c r="C58" t="n">
        <x:v>115</x:v>
      </x:c>
      <x:c r="D58" t="n">
        <x:v>2</x:v>
      </x:c>
      <x:c r="E58" t="n">
        <x:v>113</x:v>
      </x:c>
      <x:c r="F58" t="n">
        <x:v>39</x:v>
      </x:c>
      <x:c r="G58" t="n">
        <x:v>9</x:v>
      </x:c>
      <x:c r="H58" t="n">
        <x:v>30</x:v>
      </x:c>
      <x:c r="I58" t="str">
        <x:v>HC dùng chung theo công đoạn; không tính đôi/giờ công riêng cho từng mã giày.</x:v>
      </x:c>
    </x:row>
    <x:row r="59">
      <x:c r="A59" s="2" t="n">
        <x:v>46289</x:v>
      </x:c>
      <x:c r="B59" t="str">
        <x:v>BBB-1698</x:v>
      </x:c>
      <x:c r="C59" t="n">
        <x:v>360</x:v>
      </x:c>
      <x:c r="D59" t="n">
        <x:v>69</x:v>
      </x:c>
      <x:c r="E59" t="n">
        <x:v>291</x:v>
      </x:c>
      <x:c r="F59" t="n">
        <x:v>447</x:v>
      </x:c>
      <x:c r="G59" t="n">
        <x:v>68</x:v>
      </x:c>
      <x:c r="H59" t="n">
        <x:v>379</x:v>
      </x:c>
      <x:c r="I59" t="str">
        <x:v>HC dùng chung theo công đoạn; không tính đôi/giờ công riêng cho từng mã giày.</x:v>
      </x:c>
    </x:row>
    <x:row r="60">
      <x:c r="A60" s="2" t="n">
        <x:v>46289</x:v>
      </x:c>
      <x:c r="B60" t="str">
        <x:v>SOB-1632</x:v>
      </x:c>
      <x:c r="C60" t="n">
        <x:v>0</x:v>
      </x:c>
      <x:c r="D60" t="n">
        <x:v>0</x:v>
      </x:c>
      <x:c r="E60" t="n">
        <x:v>0</x:v>
      </x:c>
      <x:c r="F60" t="n">
        <x:v>8</x:v>
      </x:c>
      <x:c r="G60" t="n">
        <x:v>2</x:v>
      </x:c>
      <x:c r="H60" t="n">
        <x:v>6</x:v>
      </x:c>
      <x:c r="I60" t="str">
        <x:v>HC dùng chung theo công đoạn; không tính đôi/giờ công riêng cho từng mã giày.</x:v>
      </x:c>
    </x:row>
    <x:row r="61">
      <x:c r="A61" s="2" t="n">
        <x:v>46289</x:v>
      </x:c>
      <x:c r="B61" t="str">
        <x:v>SWB-1285-1</x:v>
      </x:c>
      <x:c r="C61" t="n">
        <x:v>107</x:v>
      </x:c>
      <x:c r="D61" t="n">
        <x:v>21</x:v>
      </x:c>
      <x:c r="E61" t="n">
        <x:v>86</x:v>
      </x:c>
      <x:c r="F61" t="n">
        <x:v>45</x:v>
      </x:c>
      <x:c r="G61" t="n">
        <x:v>8</x:v>
      </x:c>
      <x:c r="H61" t="n">
        <x:v>37</x:v>
      </x:c>
      <x:c r="I61" t="str">
        <x:v>HC dùng chung theo công đoạn; không tính đôi/giờ công riêng cho từng mã giày.</x:v>
      </x:c>
    </x:row>
    <x:row r="62">
      <x:c r="A62" s="2" t="n">
        <x:v>46290</x:v>
      </x:c>
      <x:c r="B62" t="str">
        <x:v>BBB-1698</x:v>
      </x:c>
      <x:c r="C62" t="n">
        <x:v>370</x:v>
      </x:c>
      <x:c r="D62" t="n">
        <x:v>85</x:v>
      </x:c>
      <x:c r="E62" t="n">
        <x:v>285</x:v>
      </x:c>
      <x:c r="F62" t="n">
        <x:v>439</x:v>
      </x:c>
      <x:c r="G62" t="n">
        <x:v>73</x:v>
      </x:c>
      <x:c r="H62" t="n">
        <x:v>366</x:v>
      </x:c>
      <x:c r="I62" t="str">
        <x:v>HC dùng chung theo công đoạn; không tính đôi/giờ công riêng cho từng mã giày.</x:v>
      </x:c>
    </x:row>
    <x:row r="63">
      <x:c r="A63" s="2" t="n">
        <x:v>46290</x:v>
      </x:c>
      <x:c r="B63" t="str">
        <x:v>SOB-1632</x:v>
      </x:c>
      <x:c r="C63" t="n">
        <x:v>0</x:v>
      </x:c>
      <x:c r="D63" t="n">
        <x:v>0</x:v>
      </x:c>
      <x:c r="E63" t="n">
        <x:v>0</x:v>
      </x:c>
      <x:c r="F63" t="n">
        <x:v>23</x:v>
      </x:c>
      <x:c r="G63" t="n">
        <x:v>1</x:v>
      </x:c>
      <x:c r="H63" t="n">
        <x:v>22</x:v>
      </x:c>
      <x:c r="I63" t="str">
        <x:v>HC dùng chung theo công đoạn; không tính đôi/giờ công riêng cho từng mã giày.</x:v>
      </x:c>
    </x:row>
    <x:row r="64">
      <x:c r="A64" s="2" t="n">
        <x:v>46290</x:v>
      </x:c>
      <x:c r="B64" t="str">
        <x:v>SWB-1285-1</x:v>
      </x:c>
      <x:c r="C64" t="n">
        <x:v>100</x:v>
      </x:c>
      <x:c r="D64" t="n">
        <x:v>34</x:v>
      </x:c>
      <x:c r="E64" t="n">
        <x:v>66</x:v>
      </x:c>
      <x:c r="F64" t="n">
        <x:v>70</x:v>
      </x:c>
      <x:c r="G64" t="n">
        <x:v>9</x:v>
      </x:c>
      <x:c r="H64" t="n">
        <x:v>61</x:v>
      </x:c>
      <x:c r="I64" t="str">
        <x:v>HC dùng chung theo công đoạn; không tính đôi/giờ công riêng cho từng mã giày.</x:v>
      </x:c>
    </x:row>
    <x:row r="65">
      <x:c r="A65" s="2" t="n">
        <x:v>46291</x:v>
      </x:c>
      <x:c r="B65" t="str">
        <x:v>BBB-1698</x:v>
      </x:c>
      <x:c r="C65" t="n">
        <x:v>370</x:v>
      </x:c>
      <x:c r="D65" t="n">
        <x:v>81</x:v>
      </x:c>
      <x:c r="E65" t="n">
        <x:v>289</x:v>
      </x:c>
      <x:c r="F65" t="n">
        <x:v>313</x:v>
      </x:c>
      <x:c r="G65" t="n">
        <x:v>42</x:v>
      </x:c>
      <x:c r="H65" t="n">
        <x:v>271</x:v>
      </x:c>
      <x:c r="I65" t="str">
        <x:v>HC dùng chung theo công đoạn; không tính đôi/giờ công riêng cho từng mã giày.</x:v>
      </x:c>
    </x:row>
    <x:row r="66">
      <x:c r="A66" s="2" t="n">
        <x:v>46291</x:v>
      </x:c>
      <x:c r="B66" t="str">
        <x:v>SOB-1632</x:v>
      </x:c>
      <x:c r="C66" t="n">
        <x:v>0</x:v>
      </x:c>
      <x:c r="D66" t="n">
        <x:v>0</x:v>
      </x:c>
      <x:c r="E66" t="n">
        <x:v>0</x:v>
      </x:c>
      <x:c r="F66" t="n">
        <x:v>24</x:v>
      </x:c>
      <x:c r="G66" t="n">
        <x:v>0</x:v>
      </x:c>
      <x:c r="H66" t="n">
        <x:v>24</x:v>
      </x:c>
      <x:c r="I66" t="str">
        <x:v>HC dùng chung theo công đoạn; không tính đôi/giờ công riêng cho từng mã giày.</x:v>
      </x:c>
    </x:row>
    <x:row r="67">
      <x:c r="A67" s="2" t="n">
        <x:v>46291</x:v>
      </x:c>
      <x:c r="B67" t="str">
        <x:v>SWB-1285-1</x:v>
      </x:c>
      <x:c r="C67" t="n">
        <x:v>44</x:v>
      </x:c>
      <x:c r="D67" t="n">
        <x:v>25</x:v>
      </x:c>
      <x:c r="E67" t="n">
        <x:v>19</x:v>
      </x:c>
      <x:c r="F67" t="n">
        <x:v>59</x:v>
      </x:c>
      <x:c r="G67" t="n">
        <x:v>11</x:v>
      </x:c>
      <x:c r="H67" t="n">
        <x:v>48</x:v>
      </x:c>
      <x:c r="I67" t="str">
        <x:v>HC dùng chung theo công đoạn; không tính đôi/giờ công riêng cho từng mã giày.</x:v>
      </x:c>
    </x:row>
    <x:row r="68">
      <x:c r="A68" s="2" t="n">
        <x:v>46293</x:v>
      </x:c>
      <x:c r="B68" t="str">
        <x:v>BBB-1698</x:v>
      </x:c>
      <x:c r="C68" t="n">
        <x:v>262</x:v>
      </x:c>
      <x:c r="D68" t="n">
        <x:v>38</x:v>
      </x:c>
      <x:c r="E68" t="n">
        <x:v>224</x:v>
      </x:c>
      <x:c r="F68" t="n">
        <x:v>325</x:v>
      </x:c>
      <x:c r="G68" t="n">
        <x:v>41</x:v>
      </x:c>
      <x:c r="H68" t="n">
        <x:v>284</x:v>
      </x:c>
      <x:c r="I68" t="str">
        <x:v>HC dùng chung theo công đoạn; không tính đôi/giờ công riêng cho từng mã giày.</x:v>
      </x:c>
    </x:row>
    <x:row r="69">
      <x:c r="A69" s="2" t="n">
        <x:v>46293</x:v>
      </x:c>
      <x:c r="B69" t="str">
        <x:v>SOB-1632</x:v>
      </x:c>
      <x:c r="C69" t="n">
        <x:v>0</x:v>
      </x:c>
      <x:c r="D69" t="n">
        <x:v>0</x:v>
      </x:c>
      <x:c r="E69" t="n">
        <x:v>0</x:v>
      </x:c>
      <x:c r="F69" t="n">
        <x:v>10</x:v>
      </x:c>
      <x:c r="G69" t="n">
        <x:v>0</x:v>
      </x:c>
      <x:c r="H69" t="n">
        <x:v>10</x:v>
      </x:c>
      <x:c r="I69" t="str">
        <x:v>HC dùng chung theo công đoạn; không tính đôi/giờ công riêng cho từng mã giày.</x:v>
      </x:c>
    </x:row>
    <x:row r="70">
      <x:c r="A70" s="2" t="n">
        <x:v>46293</x:v>
      </x:c>
      <x:c r="B70" t="str">
        <x:v>SWB-1285-1</x:v>
      </x:c>
      <x:c r="C70" t="n">
        <x:v>56</x:v>
      </x:c>
      <x:c r="D70" t="n">
        <x:v>16</x:v>
      </x:c>
      <x:c r="E70" t="n">
        <x:v>40</x:v>
      </x:c>
      <x:c r="F70" t="n">
        <x:v>70</x:v>
      </x:c>
      <x:c r="G70" t="n">
        <x:v>13</x:v>
      </x:c>
      <x:c r="H70" t="n">
        <x:v>57</x:v>
      </x:c>
      <x:c r="I70" t="str">
        <x:v>HC dùng chung theo công đoạn; không tính đôi/giờ công riêng cho từng mã giày.</x:v>
      </x:c>
    </x:row>
    <x:row r="71">
      <x:c r="A71" s="2" t="n">
        <x:v>46294</x:v>
      </x:c>
      <x:c r="B71" t="str">
        <x:v>BBB-1698</x:v>
      </x:c>
      <x:c r="C71" t="n">
        <x:v>290</x:v>
      </x:c>
      <x:c r="D71" t="n">
        <x:v>29</x:v>
      </x:c>
      <x:c r="E71" t="n">
        <x:v>261</x:v>
      </x:c>
      <x:c r="F71" t="n">
        <x:v>320</x:v>
      </x:c>
      <x:c r="G71" t="n">
        <x:v>43</x:v>
      </x:c>
      <x:c r="H71" t="n">
        <x:v>277</x:v>
      </x:c>
      <x:c r="I71" t="str">
        <x:v>HC dùng chung theo công đoạn; không tính đôi/giờ công riêng cho từng mã giày.</x:v>
      </x:c>
    </x:row>
    <x:row r="72">
      <x:c r="A72" s="2" t="n">
        <x:v>46294</x:v>
      </x:c>
      <x:c r="B72" t="str">
        <x:v>SOB-1632</x:v>
      </x:c>
      <x:c r="C72" t="n">
        <x:v>0</x:v>
      </x:c>
      <x:c r="D72" t="n">
        <x:v>0</x:v>
      </x:c>
      <x:c r="E72" t="n">
        <x:v>0</x:v>
      </x:c>
      <x:c r="F72" t="n">
        <x:v>33</x:v>
      </x:c>
      <x:c r="G72" t="n">
        <x:v>1</x:v>
      </x:c>
      <x:c r="H72" t="n">
        <x:v>32</x:v>
      </x:c>
      <x:c r="I72" t="str">
        <x:v>HC dùng chung theo công đoạn; không tính đôi/giờ công riêng cho từng mã giày.</x:v>
      </x:c>
    </x:row>
    <x:row r="73">
      <x:c r="A73" s="2" t="n">
        <x:v>46294</x:v>
      </x:c>
      <x:c r="B73" t="str">
        <x:v>SWB-1285-1</x:v>
      </x:c>
      <x:c r="C73" t="n">
        <x:v>35</x:v>
      </x:c>
      <x:c r="D73" t="n">
        <x:v>0</x:v>
      </x:c>
      <x:c r="E73" t="n">
        <x:v>35</x:v>
      </x:c>
      <x:c r="F73" t="n">
        <x:v>100</x:v>
      </x:c>
      <x:c r="G73" t="n">
        <x:v>13</x:v>
      </x:c>
      <x:c r="H73" t="n">
        <x:v>87</x:v>
      </x:c>
      <x:c r="I73" t="str">
        <x:v>HC dùng chung theo công đoạn; không tính đôi/giờ công riêng cho từng mã giày.</x:v>
      </x:c>
    </x:row>
    <x:row r="74">
      <x:c r="A74" s="2" t="n">
        <x:v>46295</x:v>
      </x:c>
      <x:c r="B74" t="str">
        <x:v>BBB-1698</x:v>
      </x:c>
      <x:c r="C74" t="n">
        <x:v>240</x:v>
      </x:c>
      <x:c r="D74" t="n">
        <x:v>19</x:v>
      </x:c>
      <x:c r="E74" t="n">
        <x:v>221</x:v>
      </x:c>
      <x:c r="F74" t="n">
        <x:v>338</x:v>
      </x:c>
      <x:c r="G74" t="n">
        <x:v>33</x:v>
      </x:c>
      <x:c r="H74" t="n">
        <x:v>305</x:v>
      </x:c>
      <x:c r="I74" t="str">
        <x:v>HC dùng chung theo công đoạn; không tính đôi/giờ công riêng cho từng mã giày.</x:v>
      </x:c>
    </x:row>
    <x:row r="75">
      <x:c r="A75" s="2" t="n">
        <x:v>46295</x:v>
      </x:c>
      <x:c r="B75" t="str">
        <x:v>SOB-1632</x:v>
      </x:c>
      <x:c r="C75" t="n">
        <x:v>0</x:v>
      </x:c>
      <x:c r="D75" t="n">
        <x:v>0</x:v>
      </x:c>
      <x:c r="E75" t="n">
        <x:v>0</x:v>
      </x:c>
      <x:c r="F75" t="n">
        <x:v>35</x:v>
      </x:c>
      <x:c r="G75" t="n">
        <x:v>7</x:v>
      </x:c>
      <x:c r="H75" t="n">
        <x:v>28</x:v>
      </x:c>
      <x:c r="I75" t="str">
        <x:v>HC dùng chung theo công đoạn; không tính đôi/giờ công riêng cho từng mã giày.</x:v>
      </x:c>
    </x:row>
    <x:row r="76">
      <x:c r="A76" s="2" t="n">
        <x:v>46295</x:v>
      </x:c>
      <x:c r="B76" t="str">
        <x:v>SWB-1285-1</x:v>
      </x:c>
      <x:c r="C76" t="n">
        <x:v>70</x:v>
      </x:c>
      <x:c r="D76" t="n">
        <x:v>1</x:v>
      </x:c>
      <x:c r="E76" t="n">
        <x:v>69</x:v>
      </x:c>
      <x:c r="F76" t="n">
        <x:v>77</x:v>
      </x:c>
      <x:c r="G76" t="n">
        <x:v>14</x:v>
      </x:c>
      <x:c r="H76" t="n">
        <x:v>63</x:v>
      </x:c>
      <x:c r="I76" t="str">
        <x:v>HC dùng chung theo công đoạn; không tính đôi/giờ công riêng cho từng mã giày.</x:v>
      </x:c>
    </x:row>
    <x:row r="77">
      <x:c r="A77" s="2" t="n">
        <x:v>46296</x:v>
      </x:c>
      <x:c r="B77" t="str">
        <x:v>BBB-1698</x:v>
      </x:c>
      <x:c r="C77" t="n">
        <x:v>264</x:v>
      </x:c>
      <x:c r="D77" t="n">
        <x:v>44</x:v>
      </x:c>
      <x:c r="E77" t="n">
        <x:v>220</x:v>
      </x:c>
      <x:c r="F77" t="n">
        <x:v>205</x:v>
      </x:c>
      <x:c r="G77" t="n">
        <x:v>8</x:v>
      </x:c>
      <x:c r="H77" t="n">
        <x:v>197</x:v>
      </x:c>
      <x:c r="I77" t="str">
        <x:v>HC dùng chung theo công đoạn; không tính đôi/giờ công riêng cho từng mã giày.</x:v>
      </x:c>
    </x:row>
    <x:row r="78">
      <x:c r="A78" s="2" t="n">
        <x:v>46296</x:v>
      </x:c>
      <x:c r="B78" t="str">
        <x:v>SOB-1632</x:v>
      </x:c>
      <x:c r="C78" t="n">
        <x:v>0</x:v>
      </x:c>
      <x:c r="D78" t="n">
        <x:v>0</x:v>
      </x:c>
      <x:c r="E78" t="n">
        <x:v>0</x:v>
      </x:c>
      <x:c r="F78" t="n">
        <x:v>24</x:v>
      </x:c>
      <x:c r="G78" t="n">
        <x:v>0</x:v>
      </x:c>
      <x:c r="H78" t="n">
        <x:v>24</x:v>
      </x:c>
      <x:c r="I78" t="str">
        <x:v>HC dùng chung theo công đoạn; không tính đôi/giờ công riêng cho từng mã giày.</x:v>
      </x:c>
    </x:row>
    <x:row r="79">
      <x:c r="A79" s="2" t="n">
        <x:v>46296</x:v>
      </x:c>
      <x:c r="B79" t="str">
        <x:v>SWB-1285-1</x:v>
      </x:c>
      <x:c r="C79" t="n">
        <x:v>80</x:v>
      </x:c>
      <x:c r="D79" t="n">
        <x:v>7</x:v>
      </x:c>
      <x:c r="E79" t="n">
        <x:v>73</x:v>
      </x:c>
      <x:c r="F79" t="n">
        <x:v>100</x:v>
      </x:c>
      <x:c r="G79" t="n">
        <x:v>21</x:v>
      </x:c>
      <x:c r="H79" t="n">
        <x:v>79</x:v>
      </x:c>
      <x:c r="I79" t="str">
        <x:v>HC dùng chung theo công đoạn; không tính đôi/giờ công riêng cho từng mã giày.</x:v>
      </x:c>
    </x:row>
    <x:row r="80">
      <x:c r="A80" s="2" t="n">
        <x:v>46297</x:v>
      </x:c>
      <x:c r="B80" t="str">
        <x:v>BBB-1698</x:v>
      </x:c>
      <x:c r="C80" t="n">
        <x:v>310</x:v>
      </x:c>
      <x:c r="D80" t="n">
        <x:v>78</x:v>
      </x:c>
      <x:c r="E80" t="n">
        <x:v>232</x:v>
      </x:c>
      <x:c r="F80" t="n">
        <x:v>275</x:v>
      </x:c>
      <x:c r="G80" t="n">
        <x:v>31</x:v>
      </x:c>
      <x:c r="H80" t="n">
        <x:v>244</x:v>
      </x:c>
      <x:c r="I80" t="str">
        <x:v>HC dùng chung theo công đoạn; không tính đôi/giờ công riêng cho từng mã giày.</x:v>
      </x:c>
    </x:row>
    <x:row r="81">
      <x:c r="A81" s="2" t="n">
        <x:v>46297</x:v>
      </x:c>
      <x:c r="B81" t="str">
        <x:v>SOB-1632</x:v>
      </x:c>
      <x:c r="C81" t="n">
        <x:v>0</x:v>
      </x:c>
      <x:c r="D81" t="n">
        <x:v>0</x:v>
      </x:c>
      <x:c r="E81" t="n">
        <x:v>0</x:v>
      </x:c>
      <x:c r="F81" t="n">
        <x:v>11</x:v>
      </x:c>
      <x:c r="G81" t="n">
        <x:v>2</x:v>
      </x:c>
      <x:c r="H81" t="n">
        <x:v>9</x:v>
      </x:c>
      <x:c r="I81" t="str">
        <x:v>HC dùng chung theo công đoạn; không tính đôi/giờ công riêng cho từng mã giày.</x:v>
      </x:c>
    </x:row>
    <x:row r="82">
      <x:c r="A82" s="2" t="n">
        <x:v>46297</x:v>
      </x:c>
      <x:c r="B82" t="str">
        <x:v>SWB-1285-1</x:v>
      </x:c>
      <x:c r="C82" t="n">
        <x:v>90</x:v>
      </x:c>
      <x:c r="D82" t="n">
        <x:v>5</x:v>
      </x:c>
      <x:c r="E82" t="n">
        <x:v>85</x:v>
      </x:c>
      <x:c r="F82" t="n">
        <x:v>95</x:v>
      </x:c>
      <x:c r="G82" t="n">
        <x:v>12</x:v>
      </x:c>
      <x:c r="H82" t="n">
        <x:v>83</x:v>
      </x:c>
      <x:c r="I82" t="str">
        <x:v>HC dùng chung theo công đoạn; không tính đôi/giờ công riêng cho từng mã giày.</x:v>
      </x:c>
    </x:row>
    <x:row r="83">
      <x:c r="A83" s="2" t="n">
        <x:v>46298</x:v>
      </x:c>
      <x:c r="B83" t="str">
        <x:v>BBB-1698</x:v>
      </x:c>
      <x:c r="C83" t="n">
        <x:v>255</x:v>
      </x:c>
      <x:c r="D83" t="n">
        <x:v>0</x:v>
      </x:c>
      <x:c r="E83" t="n">
        <x:v>255</x:v>
      </x:c>
      <x:c r="F83" t="n">
        <x:v>305</x:v>
      </x:c>
      <x:c r="G83" t="n">
        <x:v>29</x:v>
      </x:c>
      <x:c r="H83" t="n">
        <x:v>276</x:v>
      </x:c>
      <x:c r="I83" t="str">
        <x:v>HC dùng chung theo công đoạn; không tính đôi/giờ công riêng cho từng mã giày.</x:v>
      </x:c>
    </x:row>
    <x:row r="84">
      <x:c r="A84" s="2" t="n">
        <x:v>46298</x:v>
      </x:c>
      <x:c r="B84" t="str">
        <x:v>SOB-1632</x:v>
      </x:c>
      <x:c r="C84" t="n">
        <x:v>0</x:v>
      </x:c>
      <x:c r="D84" t="n">
        <x:v>0</x:v>
      </x:c>
      <x:c r="E84" t="n">
        <x:v>0</x:v>
      </x:c>
      <x:c r="F84" t="n">
        <x:v>57</x:v>
      </x:c>
      <x:c r="G84" t="n">
        <x:v>0</x:v>
      </x:c>
      <x:c r="H84" t="n">
        <x:v>57</x:v>
      </x:c>
      <x:c r="I84" t="str">
        <x:v>HC dùng chung theo công đoạn; không tính đôi/giờ công riêng cho từng mã giày.</x:v>
      </x:c>
    </x:row>
    <x:row r="85">
      <x:c r="A85" s="2" t="n">
        <x:v>46298</x:v>
      </x:c>
      <x:c r="B85" t="str">
        <x:v>SWB-1285-1</x:v>
      </x:c>
      <x:c r="C85" t="n">
        <x:v>68</x:v>
      </x:c>
      <x:c r="D85" t="n">
        <x:v>0</x:v>
      </x:c>
      <x:c r="E85" t="n">
        <x:v>68</x:v>
      </x:c>
      <x:c r="F85" t="n">
        <x:v>79</x:v>
      </x:c>
      <x:c r="G85" t="n">
        <x:v>14</x:v>
      </x:c>
      <x:c r="H85" t="n">
        <x:v>65</x:v>
      </x:c>
      <x:c r="I85" t="str">
        <x:v>HC dùng chung theo công đoạn; không tính đôi/giờ công riêng cho từng mã giày.</x:v>
      </x:c>
    </x:row>
    <x:row r="86">
      <x:c r="A86" s="2" t="n">
        <x:v>46300</x:v>
      </x:c>
      <x:c r="B86" t="str">
        <x:v>BBB-1698</x:v>
      </x:c>
      <x:c r="C86" t="n">
        <x:v>219</x:v>
      </x:c>
      <x:c r="D86" t="n">
        <x:v>0</x:v>
      </x:c>
      <x:c r="E86" t="n">
        <x:v>219</x:v>
      </x:c>
      <x:c r="F86" t="n">
        <x:v>299</x:v>
      </x:c>
      <x:c r="G86" t="n">
        <x:v>0</x:v>
      </x:c>
      <x:c r="H86" t="n">
        <x:v>299</x:v>
      </x:c>
      <x:c r="I86" t="str">
        <x:v>HC dùng chung theo công đoạn; không tính đôi/giờ công riêng cho từng mã giày.</x:v>
      </x:c>
    </x:row>
    <x:row r="87">
      <x:c r="A87" s="2" t="n">
        <x:v>46300</x:v>
      </x:c>
      <x:c r="B87" t="str">
        <x:v>SOB-1632</x:v>
      </x:c>
      <x:c r="C87" t="n">
        <x:v>0</x:v>
      </x:c>
      <x:c r="D87" t="n">
        <x:v>0</x:v>
      </x:c>
      <x:c r="E87" t="n">
        <x:v>0</x:v>
      </x:c>
      <x:c r="F87" t="n">
        <x:v>13</x:v>
      </x:c>
      <x:c r="G87" t="n">
        <x:v>0</x:v>
      </x:c>
      <x:c r="H87" t="n">
        <x:v>13</x:v>
      </x:c>
      <x:c r="I87" t="str">
        <x:v>HC dùng chung theo công đoạn; không tính đôi/giờ công riêng cho từng mã giày.</x:v>
      </x:c>
    </x:row>
    <x:row r="88">
      <x:c r="A88" s="2" t="n">
        <x:v>46300</x:v>
      </x:c>
      <x:c r="B88" t="str">
        <x:v>SWB-1285-1</x:v>
      </x:c>
      <x:c r="C88" t="n">
        <x:v>54</x:v>
      </x:c>
      <x:c r="D88" t="n">
        <x:v>0</x:v>
      </x:c>
      <x:c r="E88" t="n">
        <x:v>54</x:v>
      </x:c>
      <x:c r="F88" t="n">
        <x:v>78</x:v>
      </x:c>
      <x:c r="G88" t="n">
        <x:v>0</x:v>
      </x:c>
      <x:c r="H88" t="n">
        <x:v>78</x:v>
      </x:c>
      <x:c r="I88" t="str">
        <x:v>HC dùng chung theo công đoạn; không tính đôi/giờ công riêng cho từng mã giày.</x:v>
      </x:c>
    </x:row>
    <x:row r="89">
      <x:c r="A89" s="2" t="n">
        <x:v>46301</x:v>
      </x:c>
      <x:c r="B89" t="str">
        <x:v>BBB-1698</x:v>
      </x:c>
      <x:c r="C89" t="n">
        <x:v>247</x:v>
      </x:c>
      <x:c r="D89" t="n">
        <x:v>0</x:v>
      </x:c>
      <x:c r="E89" t="n">
        <x:v>247</x:v>
      </x:c>
      <x:c r="F89" t="n">
        <x:v>240</x:v>
      </x:c>
      <x:c r="G89" t="n">
        <x:v>0</x:v>
      </x:c>
      <x:c r="H89" t="n">
        <x:v>240</x:v>
      </x:c>
      <x:c r="I89" t="str">
        <x:v>HC dùng chung theo công đoạn; không tính đôi/giờ công riêng cho từng mã giày.</x:v>
      </x:c>
    </x:row>
    <x:row r="90">
      <x:c r="A90" s="2" t="n">
        <x:v>46301</x:v>
      </x:c>
      <x:c r="B90" t="str">
        <x:v>SOB-1632</x:v>
      </x:c>
      <x:c r="C90" t="n">
        <x:v>0</x:v>
      </x:c>
      <x:c r="D90" t="n">
        <x:v>0</x:v>
      </x:c>
      <x:c r="E90" t="n">
        <x:v>0</x:v>
      </x:c>
      <x:c r="F90" t="n">
        <x:v>40</x:v>
      </x:c>
      <x:c r="G90" t="n">
        <x:v>0</x:v>
      </x:c>
      <x:c r="H90" t="n">
        <x:v>40</x:v>
      </x:c>
      <x:c r="I90" t="str">
        <x:v>HC dùng chung theo công đoạn; không tính đôi/giờ công riêng cho từng mã giày.</x:v>
      </x:c>
    </x:row>
    <x:row r="91">
      <x:c r="A91" s="2" t="n">
        <x:v>46301</x:v>
      </x:c>
      <x:c r="B91" t="str">
        <x:v>SWB-1285-1</x:v>
      </x:c>
      <x:c r="C91" t="n">
        <x:v>78</x:v>
      </x:c>
      <x:c r="D91" t="n">
        <x:v>0</x:v>
      </x:c>
      <x:c r="E91" t="n">
        <x:v>78</x:v>
      </x:c>
      <x:c r="F91" t="n">
        <x:v>42</x:v>
      </x:c>
      <x:c r="G91" t="n">
        <x:v>0</x:v>
      </x:c>
      <x:c r="H91" t="n">
        <x:v>42</x:v>
      </x:c>
      <x:c r="I91" t="str">
        <x:v>HC dùng chung theo công đoạn; không tính đôi/giờ công riêng cho từng mã giày.</x:v>
      </x:c>
    </x:row>
    <x:row r="92">
      <x:c r="A92" s="2" t="n">
        <x:v>46302</x:v>
      </x:c>
      <x:c r="B92" t="str">
        <x:v>BBB-1698</x:v>
      </x:c>
      <x:c r="C92" t="n">
        <x:v>224</x:v>
      </x:c>
      <x:c r="D92" t="n">
        <x:v>0</x:v>
      </x:c>
      <x:c r="E92" t="n">
        <x:v>224</x:v>
      </x:c>
      <x:c r="F92" t="n">
        <x:v>229</x:v>
      </x:c>
      <x:c r="G92" t="n">
        <x:v>0</x:v>
      </x:c>
      <x:c r="H92" t="n">
        <x:v>229</x:v>
      </x:c>
      <x:c r="I92" t="str">
        <x:v>HC dùng chung theo công đoạn; không tính đôi/giờ công riêng cho từng mã giày.</x:v>
      </x:c>
    </x:row>
    <x:row r="93">
      <x:c r="A93" s="2" t="n">
        <x:v>46302</x:v>
      </x:c>
      <x:c r="B93" t="str">
        <x:v>SOB-1632</x:v>
      </x:c>
      <x:c r="C93" t="n">
        <x:v>0</x:v>
      </x:c>
      <x:c r="D93" t="n">
        <x:v>0</x:v>
      </x:c>
      <x:c r="E93" t="n">
        <x:v>0</x:v>
      </x:c>
      <x:c r="F93" t="n">
        <x:v>40</x:v>
      </x:c>
      <x:c r="G93" t="n">
        <x:v>0</x:v>
      </x:c>
      <x:c r="H93" t="n">
        <x:v>40</x:v>
      </x:c>
      <x:c r="I93" t="str">
        <x:v>HC dùng chung theo công đoạn; không tính đôi/giờ công riêng cho từng mã giày.</x:v>
      </x:c>
    </x:row>
    <x:row r="94">
      <x:c r="A94" s="2" t="n">
        <x:v>46302</x:v>
      </x:c>
      <x:c r="B94" t="str">
        <x:v>SWB-1285-1</x:v>
      </x:c>
      <x:c r="C94" t="n">
        <x:v>36</x:v>
      </x:c>
      <x:c r="D94" t="n">
        <x:v>0</x:v>
      </x:c>
      <x:c r="E94" t="n">
        <x:v>36</x:v>
      </x:c>
      <x:c r="F94" t="n">
        <x:v>85</x:v>
      </x:c>
      <x:c r="G94" t="n">
        <x:v>0</x:v>
      </x:c>
      <x:c r="H94" t="n">
        <x:v>85</x:v>
      </x:c>
      <x:c r="I94" t="str">
        <x:v>HC dùng chung theo công đoạn; không tính đôi/giờ công riêng cho từng mã giày.</x:v>
      </x:c>
    </x:row>
    <x:row r="95">
      <x:c r="A95" s="2" t="n">
        <x:v>46303</x:v>
      </x:c>
      <x:c r="B95" t="str">
        <x:v>BBB-1698</x:v>
      </x:c>
      <x:c r="C95" t="n">
        <x:v>271</x:v>
      </x:c>
      <x:c r="D95" t="n">
        <x:v>0</x:v>
      </x:c>
      <x:c r="E95" t="n">
        <x:v>271</x:v>
      </x:c>
      <x:c r="F95" t="n">
        <x:v>273</x:v>
      </x:c>
      <x:c r="G95" t="n">
        <x:v>0</x:v>
      </x:c>
      <x:c r="H95" t="n">
        <x:v>273</x:v>
      </x:c>
      <x:c r="I95" t="str">
        <x:v>HC dùng chung theo công đoạn; không tính đôi/giờ công riêng cho từng mã giày.</x:v>
      </x:c>
    </x:row>
    <x:row r="96">
      <x:c r="A96" s="2" t="n">
        <x:v>46303</x:v>
      </x:c>
      <x:c r="B96" t="str">
        <x:v>SOB-1632</x:v>
      </x:c>
      <x:c r="C96" t="n">
        <x:v>0</x:v>
      </x:c>
      <x:c r="D96" t="n">
        <x:v>0</x:v>
      </x:c>
      <x:c r="E96" t="n">
        <x:v>0</x:v>
      </x:c>
      <x:c r="F96" t="n">
        <x:v>41</x:v>
      </x:c>
      <x:c r="G96" t="n">
        <x:v>0</x:v>
      </x:c>
      <x:c r="H96" t="n">
        <x:v>41</x:v>
      </x:c>
      <x:c r="I96" t="str">
        <x:v>HC dùng chung theo công đoạn; không tính đôi/giờ công riêng cho từng mã giày.</x:v>
      </x:c>
    </x:row>
    <x:row r="97">
      <x:c r="A97" s="2" t="n">
        <x:v>46303</x:v>
      </x:c>
      <x:c r="B97" t="str">
        <x:v>SWB-1285-1</x:v>
      </x:c>
      <x:c r="C97" t="n">
        <x:v>75</x:v>
      </x:c>
      <x:c r="D97" t="n">
        <x:v>0</x:v>
      </x:c>
      <x:c r="E97" t="n">
        <x:v>75</x:v>
      </x:c>
      <x:c r="F97" t="n">
        <x:v>70</x:v>
      </x:c>
      <x:c r="G97" t="n">
        <x:v>0</x:v>
      </x:c>
      <x:c r="H97" t="n">
        <x:v>70</x:v>
      </x:c>
      <x:c r="I97" t="str">
        <x:v>HC dùng chung theo công đoạn; không tính đôi/giờ công riêng cho từng mã giày.</x:v>
      </x:c>
    </x:row>
    <x:row r="98">
      <x:c r="A98" s="2" t="n">
        <x:v>46304</x:v>
      </x:c>
      <x:c r="B98" t="str">
        <x:v>BBB-1698</x:v>
      </x:c>
      <x:c r="C98" t="n">
        <x:v>272</x:v>
      </x:c>
      <x:c r="D98" t="n">
        <x:v>0</x:v>
      </x:c>
      <x:c r="E98" t="n">
        <x:v>272</x:v>
      </x:c>
      <x:c r="F98" t="n">
        <x:v>273</x:v>
      </x:c>
      <x:c r="G98" t="n">
        <x:v>0</x:v>
      </x:c>
      <x:c r="H98" t="n">
        <x:v>273</x:v>
      </x:c>
      <x:c r="I98" t="str">
        <x:v>HC dùng chung theo công đoạn; không tính đôi/giờ công riêng cho từng mã giày.</x:v>
      </x:c>
    </x:row>
    <x:row r="99">
      <x:c r="A99" s="2" t="n">
        <x:v>46304</x:v>
      </x:c>
      <x:c r="B99" t="str">
        <x:v>SOB-1632</x:v>
      </x:c>
      <x:c r="C99" t="n">
        <x:v>0</x:v>
      </x:c>
      <x:c r="D99" t="n">
        <x:v>0</x:v>
      </x:c>
      <x:c r="E99" t="n">
        <x:v>0</x:v>
      </x:c>
      <x:c r="F99" t="n">
        <x:v>33</x:v>
      </x:c>
      <x:c r="G99" t="n">
        <x:v>0</x:v>
      </x:c>
      <x:c r="H99" t="n">
        <x:v>33</x:v>
      </x:c>
      <x:c r="I99" t="str">
        <x:v>HC dùng chung theo công đoạn; không tính đôi/giờ công riêng cho từng mã giày.</x:v>
      </x:c>
    </x:row>
    <x:row r="100">
      <x:c r="A100" s="2" t="n">
        <x:v>46304</x:v>
      </x:c>
      <x:c r="B100" t="str">
        <x:v>SWB-1285-1</x:v>
      </x:c>
      <x:c r="C100" t="n">
        <x:v>24</x:v>
      </x:c>
      <x:c r="D100" t="n">
        <x:v>0</x:v>
      </x:c>
      <x:c r="E100" t="n">
        <x:v>24</x:v>
      </x:c>
      <x:c r="F100" t="n">
        <x:v>59</x:v>
      </x:c>
      <x:c r="G100" t="n">
        <x:v>0</x:v>
      </x:c>
      <x:c r="H100" t="n">
        <x:v>59</x:v>
      </x:c>
      <x:c r="I100" t="str">
        <x:v>HC dùng chung theo công đoạn; không tính đôi/giờ công riêng cho từng mã giày.</x:v>
      </x:c>
    </x:row>
    <x:row r="101">
      <x:c r="A101" s="2" t="n">
        <x:v>46305</x:v>
      </x:c>
      <x:c r="B101" t="str">
        <x:v>BBB-1698</x:v>
      </x:c>
      <x:c r="C101" t="n">
        <x:v>360</x:v>
      </x:c>
      <x:c r="D101" t="n">
        <x:v>0</x:v>
      </x:c>
      <x:c r="E101" t="n">
        <x:v>360</x:v>
      </x:c>
      <x:c r="F101" t="n">
        <x:v>309</x:v>
      </x:c>
      <x:c r="G101" t="n">
        <x:v>0</x:v>
      </x:c>
      <x:c r="H101" t="n">
        <x:v>309</x:v>
      </x:c>
      <x:c r="I101" t="str">
        <x:v>HC dùng chung theo công đoạn; không tính đôi/giờ công riêng cho từng mã giày.</x:v>
      </x:c>
    </x:row>
    <x:row r="102">
      <x:c r="A102" s="2" t="n">
        <x:v>46305</x:v>
      </x:c>
      <x:c r="B102" t="str">
        <x:v>SOB-1632</x:v>
      </x:c>
      <x:c r="C102" t="n">
        <x:v>0</x:v>
      </x:c>
      <x:c r="D102" t="n">
        <x:v>0</x:v>
      </x:c>
      <x:c r="E102" t="n">
        <x:v>0</x:v>
      </x:c>
      <x:c r="F102" t="n">
        <x:v>39</x:v>
      </x:c>
      <x:c r="G102" t="n">
        <x:v>0</x:v>
      </x:c>
      <x:c r="H102" t="n">
        <x:v>39</x:v>
      </x:c>
      <x:c r="I102" t="str">
        <x:v>HC dùng chung theo công đoạn; không tính đôi/giờ công riêng cho từng mã giày.</x:v>
      </x:c>
    </x:row>
    <x:row r="103">
      <x:c r="A103" s="2" t="n">
        <x:v>46305</x:v>
      </x:c>
      <x:c r="B103" t="str">
        <x:v>SWB-1285-1</x:v>
      </x:c>
      <x:c r="C103" t="n">
        <x:v>28</x:v>
      </x:c>
      <x:c r="D103" t="n">
        <x:v>0</x:v>
      </x:c>
      <x:c r="E103" t="n">
        <x:v>28</x:v>
      </x:c>
      <x:c r="F103" t="n">
        <x:v>72</x:v>
      </x:c>
      <x:c r="G103" t="n">
        <x:v>0</x:v>
      </x:c>
      <x:c r="H103" t="n">
        <x:v>72</x:v>
      </x:c>
      <x:c r="I103" t="str">
        <x:v>HC dùng chung theo công đoạn; không tính đôi/giờ công riêng cho từng mã giày.</x:v>
      </x:c>
    </x:row>
    <x:row r="104">
      <x:c r="A104" s="2" t="n">
        <x:v>46307</x:v>
      </x:c>
      <x:c r="B104" t="str">
        <x:v>BBB-1698</x:v>
      </x:c>
      <x:c r="C104" t="n">
        <x:v>214</x:v>
      </x:c>
      <x:c r="D104" t="n">
        <x:v>0</x:v>
      </x:c>
      <x:c r="E104" t="n">
        <x:v>214</x:v>
      </x:c>
      <x:c r="F104" t="n">
        <x:v>241</x:v>
      </x:c>
      <x:c r="G104" t="n">
        <x:v>0</x:v>
      </x:c>
      <x:c r="H104" t="n">
        <x:v>241</x:v>
      </x:c>
      <x:c r="I104" t="str">
        <x:v>HC dùng chung theo công đoạn; không tính đôi/giờ công riêng cho từng mã giày.</x:v>
      </x:c>
    </x:row>
    <x:row r="105">
      <x:c r="A105" s="2" t="n">
        <x:v>46307</x:v>
      </x:c>
      <x:c r="B105" t="str">
        <x:v>SOB-1632</x:v>
      </x:c>
      <x:c r="C105" t="n">
        <x:v>0</x:v>
      </x:c>
      <x:c r="D105" t="n">
        <x:v>0</x:v>
      </x:c>
      <x:c r="E105" t="n">
        <x:v>0</x:v>
      </x:c>
      <x:c r="F105" t="n">
        <x:v>12</x:v>
      </x:c>
      <x:c r="G105" t="n">
        <x:v>0</x:v>
      </x:c>
      <x:c r="H105" t="n">
        <x:v>12</x:v>
      </x:c>
      <x:c r="I105" t="str">
        <x:v>HC dùng chung theo công đoạn; không tính đôi/giờ công riêng cho từng mã giày.</x:v>
      </x:c>
    </x:row>
    <x:row r="106">
      <x:c r="A106" s="2" t="n">
        <x:v>46307</x:v>
      </x:c>
      <x:c r="B106" t="str">
        <x:v>SWB-1285-1</x:v>
      </x:c>
      <x:c r="C106" t="n">
        <x:v>65</x:v>
      </x:c>
      <x:c r="D106" t="n">
        <x:v>0</x:v>
      </x:c>
      <x:c r="E106" t="n">
        <x:v>65</x:v>
      </x:c>
      <x:c r="F106" t="n">
        <x:v>33</x:v>
      </x:c>
      <x:c r="G106" t="n">
        <x:v>0</x:v>
      </x:c>
      <x:c r="H106" t="n">
        <x:v>33</x:v>
      </x:c>
      <x:c r="I106" t="str">
        <x:v>HC dùng chung theo công đoạn; không tính đôi/giờ công riêng cho từng mã giày.</x:v>
      </x:c>
    </x:row>
    <x:row r="107">
      <x:c r="A107" s="2" t="n">
        <x:v>46308</x:v>
      </x:c>
      <x:c r="B107" t="str">
        <x:v>BBB-1698</x:v>
      </x:c>
      <x:c r="C107" t="n">
        <x:v>336</x:v>
      </x:c>
      <x:c r="D107" t="n">
        <x:v>0</x:v>
      </x:c>
      <x:c r="E107" t="n">
        <x:v>336</x:v>
      </x:c>
      <x:c r="F107" t="n">
        <x:v>301</x:v>
      </x:c>
      <x:c r="G107" t="n">
        <x:v>0</x:v>
      </x:c>
      <x:c r="H107" t="n">
        <x:v>301</x:v>
      </x:c>
      <x:c r="I107" t="str">
        <x:v>HC dùng chung theo công đoạn; không tính đôi/giờ công riêng cho từng mã giày.</x:v>
      </x:c>
    </x:row>
    <x:row r="108">
      <x:c r="A108" s="2" t="n">
        <x:v>46308</x:v>
      </x:c>
      <x:c r="B108" t="str">
        <x:v>SOB-1632</x:v>
      </x:c>
      <x:c r="C108" t="n">
        <x:v>0</x:v>
      </x:c>
      <x:c r="D108" t="n">
        <x:v>0</x:v>
      </x:c>
      <x:c r="E108" t="n">
        <x:v>0</x:v>
      </x:c>
      <x:c r="F108" t="n">
        <x:v>25</x:v>
      </x:c>
      <x:c r="G108" t="n">
        <x:v>0</x:v>
      </x:c>
      <x:c r="H108" t="n">
        <x:v>25</x:v>
      </x:c>
      <x:c r="I108" t="str">
        <x:v>HC dùng chung theo công đoạn; không tính đôi/giờ công riêng cho từng mã giày.</x:v>
      </x:c>
    </x:row>
    <x:row r="109">
      <x:c r="A109" s="2" t="n">
        <x:v>46308</x:v>
      </x:c>
      <x:c r="B109" t="str">
        <x:v>SWB-1285-1</x:v>
      </x:c>
      <x:c r="C109" t="n">
        <x:v>60</x:v>
      </x:c>
      <x:c r="D109" t="n">
        <x:v>0</x:v>
      </x:c>
      <x:c r="E109" t="n">
        <x:v>60</x:v>
      </x:c>
      <x:c r="F109" t="n">
        <x:v>53</x:v>
      </x:c>
      <x:c r="G109" t="n">
        <x:v>0</x:v>
      </x:c>
      <x:c r="H109" t="n">
        <x:v>53</x:v>
      </x:c>
      <x:c r="I109" t="str">
        <x:v>HC dùng chung theo công đoạn; không tính đôi/giờ công riêng cho từng mã giày.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33" hidden="0" customWidth="1"/>
    <x:col min="5" max="5" width="18" hidden="0" customWidth="1"/>
    <x:col min="6" max="6" width="14" hidden="0" customWidth="1"/>
    <x:col min="7" max="7" width="45" hidden="0" customWidth="1"/>
    <x:col min="8" max="8" width="43" hidden="0" customWidth="1"/>
    <x:col min="9" max="9" width="18" hidden="0" customWidth="1"/>
    <x:col min="10" max="10" width="35" hidden="0" customWidth="1"/>
    <x:col min="11" max="11" width="30" hidden="0" customWidth="1"/>
    <x:col min="12" max="12" width="30" hidden="0" customWidth="1"/>
    <x:col min="13" max="13" width="52" hidden="0" customWidth="1"/>
    <x:col min="14" max="14" width="64" hidden="0" customWidth="1"/>
  </x:cols>
  <x:sheetData>
    <x:row r="1" ht="37" customHeight="1">
      <x:c r="A1" s="8" t="str">
        <x:v>Trang PPT</x:v>
      </x:c>
      <x:c r="B1" s="8" t="str">
        <x:v>Loại vấn đề</x:v>
      </x:c>
      <x:c r="C1" s="8" t="str">
        <x:v>Khu vực</x:v>
      </x:c>
      <x:c r="D1" s="8" t="str">
        <x:v>Tên công đoạn (VN)</x:v>
      </x:c>
      <x:c r="E1" s="8" t="str">
        <x:v>Mã giày</x:v>
      </x:c>
      <x:c r="F1" s="8" t="str">
        <x:v>Số vấn đề</x:v>
      </x:c>
      <x:c r="G1" s="8" t="str">
        <x:v>Nội dung vấn đề (PPT)</x:v>
      </x:c>
      <x:c r="H1" s="8" t="str">
        <x:v>Mô tả (VN)</x:v>
      </x:c>
      <x:c r="I1" s="8" t="str">
        <x:v>Số đôi ảnh hưởng</x:v>
      </x:c>
      <x:c r="J1" s="8" t="str">
        <x:v>Phân bổ / Ghi chú</x:v>
      </x:c>
      <x:c r="K1" s="8" t="str">
        <x:v>CB phụ trách trực tiếp</x:v>
      </x:c>
      <x:c r="L1" s="8" t="str">
        <x:v>CB cấp cao</x:v>
      </x:c>
      <x:c r="M1" s="8" t="str">
        <x:v>Nguyên nhân (PPT)</x:v>
      </x:c>
      <x:c r="N1" s="8" t="str">
        <x:v>Lưu ý trách nhiệm</x:v>
      </x:c>
    </x:row>
    <x:row r="2" ht="48" customHeight="1">
      <x:c r="A2" s="17" t="n">
        <x:v>7</x:v>
      </x:c>
      <x:c r="B2" s="17" t="str">
        <x:v>Vấn đề chất lượng trong tháng</x:v>
      </x:c>
      <x:c r="C2" s="17" t="str">
        <x:v>Công đoạn đầu</x:v>
      </x:c>
      <x:c r="D2" s="17" t="str">
        <x:v>Tài quản / Chặt / Điện thêu / GCN</x:v>
      </x:c>
      <x:c r="E2" s="17" t="str">
        <x:v>FA26-1698</x:v>
      </x:c>
      <x:c r="F2" s="17" t="n">
        <x:v>1</x:v>
      </x:c>
      <x:c r="G2" s="17" t="str">
        <x:v>Ép CCP mensu ngoài sai group màu</x:v>
      </x:c>
      <x:c r="H2" s="17" t="str">
        <x:v>Ép CCP mensu ngoài sai group màu</x:v>
      </x:c>
      <x:c r="I2" s="17" t="n">
        <x:v>3</x:v>
      </x:c>
      <x:c r="J2" s="17"/>
      <x:c r="K2" s="17" t="str">
        <x:v>C.Quyên, C.Nhi</x:v>
      </x:c>
      <x:c r="L2" s="17" t="str">
        <x:v>C.Nhung, C.Tuyết</x:v>
      </x:c>
      <x:c r="M2" s="17" t="str">
        <x:v>Do CN CCP không chú ý ép sai màu mensu.</x:v>
      </x:c>
      <x:c r="N2" s="20" t="str">
        <x:v>PPT gốc: 3 đôi.</x:v>
      </x:c>
    </x:row>
    <x:row r="3" ht="48" customHeight="1">
      <x:c r="A3" s="17" t="n">
        <x:v>8</x:v>
      </x:c>
      <x:c r="B3" s="17" t="str">
        <x:v>Vấn đề chất lượng trong tháng</x:v>
      </x:c>
      <x:c r="C3" s="17" t="str">
        <x:v>Công đoạn đầu</x:v>
      </x:c>
      <x:c r="D3" s="17" t="str">
        <x:v>Tài quản / Chặt / Điện thêu / GCN</x:v>
      </x:c>
      <x:c r="E3" s="17" t="str">
        <x:v>FA26-1698</x:v>
      </x:c>
      <x:c r="F3" s="17" t="n">
        <x:v>2</x:v>
      </x:c>
      <x:c r="G3" s="17" t="str">
        <x:v>Sai màu mensu ngoài</x:v>
      </x:c>
      <x:c r="H3" s="17" t="str">
        <x:v>Sai màu mensu ngoài</x:v>
      </x:c>
      <x:c r="I3" s="17" t="n">
        <x:v>1</x:v>
      </x:c>
      <x:c r="J3" s="17"/>
      <x:c r="K3" s="17" t="str">
        <x:v>C.Phượng, C.Thy</x:v>
      </x:c>
      <x:c r="L3" s="17" t="str">
        <x:v>C.Huệ, C.Tuyết</x:v>
      </x:c>
      <x:c r="M3" s="17" t="str">
        <x:v>Do CN chặt phối hàng không chú ý phối lộn.</x:v>
      </x:c>
      <x:c r="N3" s="20"/>
    </x:row>
    <x:row r="4" ht="48" customHeight="1">
      <x:c r="A4" s="17" t="n">
        <x:v>9</x:v>
      </x:c>
      <x:c r="B4" s="17" t="str">
        <x:v>Vấn đề chất lượng trong tháng</x:v>
      </x:c>
      <x:c r="C4" s="17" t="str">
        <x:v>Công đoạn đầu</x:v>
      </x:c>
      <x:c r="D4" s="17" t="str">
        <x:v>Tài quản / Chặt / Điện thêu / GCN</x:v>
      </x:c>
      <x:c r="E4" s="17" t="str">
        <x:v>FA26-1698</x:v>
      </x:c>
      <x:c r="F4" s="17" t="n">
        <x:v>3</x:v>
      </x:c>
      <x:c r="G4" s="17" t="str">
        <x:v>Dao sân trong ngoài sai group màu</x:v>
      </x:c>
      <x:c r="H4" s="17" t="str">
        <x:v>Dao sân trong ngoài sai group màu</x:v>
      </x:c>
      <x:c r="I4" s="17" t="n">
        <x:v>1</x:v>
      </x:c>
      <x:c r="J4" s="17"/>
      <x:c r="K4" s="17" t="str">
        <x:v>C.Hương</x:v>
      </x:c>
      <x:c r="L4" s="17" t="str">
        <x:v>C.Huệ, C.Tuyết</x:v>
      </x:c>
      <x:c r="M4" s="17" t="str">
        <x:v>Do Cty ngoài in sai màu lưới dao sân.</x:v>
      </x:c>
      <x:c r="N4" s="20" t="str">
        <x:v>Đơn vị bên ngoài in sai màu.</x:v>
      </x:c>
    </x:row>
    <x:row r="5" ht="48" customHeight="1">
      <x:c r="A5" s="17" t="n">
        <x:v>10</x:v>
      </x:c>
      <x:c r="B5" s="17" t="str">
        <x:v>Vấn đề chất lượng trong tháng</x:v>
      </x:c>
      <x:c r="C5" s="17" t="str">
        <x:v>Công đoạn đầu</x:v>
      </x:c>
      <x:c r="D5" s="17" t="str">
        <x:v>Tài quản / Chặt / Điện thêu / GCN</x:v>
      </x:c>
      <x:c r="E5" s="17" t="str">
        <x:v>FA26-1698</x:v>
      </x:c>
      <x:c r="F5" s="17" t="n">
        <x:v>4</x:v>
      </x:c>
      <x:c r="G5" s="17" t="str">
        <x:v>Thêu PID sở nây lỳ sai group màu</x:v>
      </x:c>
      <x:c r="H5" s="17" t="str">
        <x:v>Thêu PID sở nây lỳ sai group màu</x:v>
      </x:c>
      <x:c r="I5" s="17" t="n">
        <x:v>1</x:v>
      </x:c>
      <x:c r="J5" s="17"/>
      <x:c r="K5" s="17" t="str">
        <x:v>C.Hương</x:v>
      </x:c>
      <x:c r="L5" s="17" t="str">
        <x:v>C.Huệ</x:v>
      </x:c>
      <x:c r="M5" s="17" t="str">
        <x:v>Do CN điện thêu không chú ý thêu sai màu chỉ thêu.</x:v>
      </x:c>
      <x:c r="N5" s="20"/>
    </x:row>
    <x:row r="6" ht="48" customHeight="1">
      <x:c r="A6" s="17" t="n">
        <x:v>11</x:v>
      </x:c>
      <x:c r="B6" s="17" t="str">
        <x:v>Vấn đề chất lượng trong tháng</x:v>
      </x:c>
      <x:c r="C6" s="17" t="str">
        <x:v>Công đoạn đầu</x:v>
      </x:c>
      <x:c r="D6" s="17" t="str">
        <x:v>Tài quản / Chặt / Điện thêu / GCN</x:v>
      </x:c>
      <x:c r="E6" s="17" t="str">
        <x:v>FA26-1698</x:v>
      </x:c>
      <x:c r="F6" s="17" t="n">
        <x:v>5</x:v>
      </x:c>
      <x:c r="G6" s="17" t="str">
        <x:v>Thêu PID wai phản khồ sai group màu</x:v>
      </x:c>
      <x:c r="H6" s="17" t="str">
        <x:v>Thêu PID wai phản khồ sai group màu</x:v>
      </x:c>
      <x:c r="I6" s="17" t="n">
        <x:v>1</x:v>
      </x:c>
      <x:c r="J6" s="17"/>
      <x:c r="K6" s="17" t="str">
        <x:v>C.Hương</x:v>
      </x:c>
      <x:c r="L6" s="17" t="str">
        <x:v>C.Huệ</x:v>
      </x:c>
      <x:c r="M6" s="17" t="str">
        <x:v>Do CN điện thêu không chú ý thêu sai màu chỉ.</x:v>
      </x:c>
      <x:c r="N6" s="20"/>
    </x:row>
    <x:row r="7" ht="48" customHeight="1">
      <x:c r="A7" s="17" t="n">
        <x:v>12</x:v>
      </x:c>
      <x:c r="B7" s="17" t="str">
        <x:v>Vấn đề chất lượng trong tháng</x:v>
      </x:c>
      <x:c r="C7" s="17" t="str">
        <x:v>Công đoạn đầu</x:v>
      </x:c>
      <x:c r="D7" s="17" t="str">
        <x:v>Tài quản / Chặt / Điện thêu / GCN</x:v>
      </x:c>
      <x:c r="E7" s="17" t="str">
        <x:v>FA26-1285-1</x:v>
      </x:c>
      <x:c r="F7" s="17" t="n">
        <x:v>6</x:v>
      </x:c>
      <x:c r="G7" s="17" t="str">
        <x:v>Ép CCP sở chư tai bung</x:v>
      </x:c>
      <x:c r="H7" s="17" t="str">
        <x:v>Ép CCP sở chư tai bung</x:v>
      </x:c>
      <x:c r="I7" s="17" t="n">
        <x:v>100</x:v>
      </x:c>
      <x:c r="J7" s="17" t="str">
        <x:v>MK loại ra 51 / TH loại ra 49</x:v>
      </x:c>
      <x:c r="K7" s="17" t="str">
        <x:v>C.Nhi</x:v>
      </x:c>
      <x:c r="L7" s="17" t="str">
        <x:v>C.Nhung, C.Tuyết</x:v>
      </x:c>
      <x:c r="M7" s="17" t="str">
        <x:v>Do ép CCP không đạt.</x:v>
      </x:c>
      <x:c r="N7" s="20" t="str">
        <x:v>MK 51 / TH 49 là số đôi phát hiện/loại ra, không phải tỷ lệ trách nhiệm.</x:v>
      </x:c>
    </x:row>
    <x:row r="8" ht="48" customHeight="1">
      <x:c r="A8" s="17" t="n">
        <x:v>14</x:v>
      </x:c>
      <x:c r="B8" s="17" t="str">
        <x:v>Vấn đề chất lượng trong tháng</x:v>
      </x:c>
      <x:c r="C8" s="17" t="str">
        <x:v>May (MK)</x:v>
      </x:c>
      <x:c r="D8" s="17" t="str">
        <x:v>May khâu (MK)</x:v>
      </x:c>
      <x:c r="E8" s="17" t="str">
        <x:v>FA25-1698</x:v>
      </x:c>
      <x:c r="F8" s="17" t="n">
        <x:v>1</x:v>
      </x:c>
      <x:c r="G8" s="17" t="str">
        <x:v>PID sở nây lỳ ngược chân</x:v>
      </x:c>
      <x:c r="H8" s="17" t="str">
        <x:v>PID sở nây lỳ ngược chân</x:v>
      </x:c>
      <x:c r="I8" s="17" t="n">
        <x:v>4</x:v>
      </x:c>
      <x:c r="J8" s="17" t="str">
        <x:v>MK phối sai 2 / Điện thêu ngược chân 2</x:v>
      </x:c>
      <x:c r="K8" s="17" t="str">
        <x:v>C.Dung, C.Hương</x:v>
      </x:c>
      <x:c r="L8" s="17" t="str">
        <x:v>C.Huệ, C.Tuyết</x:v>
      </x:c>
      <x:c r="M8" s="17" t="str">
        <x:v>Do CN MK phối sở nây lỳ sai 2; CN điện thêu thêu ngược chân 2.</x:v>
      </x:c>
      <x:c r="N8" s="20" t="str">
        <x:v>Nguyên nhân liên quan cả MK và Điện thêu.</x:v>
      </x:c>
    </x:row>
    <x:row r="9" ht="48" customHeight="1">
      <x:c r="A9" s="17" t="n">
        <x:v>15</x:v>
      </x:c>
      <x:c r="B9" s="17" t="str">
        <x:v>Vấn đề chất lượng trong tháng</x:v>
      </x:c>
      <x:c r="C9" s="17" t="str">
        <x:v>May (MK)</x:v>
      </x:c>
      <x:c r="D9" s="17" t="str">
        <x:v>May khâu (MK)</x:v>
      </x:c>
      <x:c r="E9" s="17" t="str">
        <x:v>FA25-1698</x:v>
      </x:c>
      <x:c r="F9" s="17" t="n">
        <x:v>2</x:v>
      </x:c>
      <x:c r="G9" s="17" t="str">
        <x:v>Xỏ dây sai group màu</x:v>
      </x:c>
      <x:c r="H9" s="17" t="str">
        <x:v>Xỏ dây sai group màu</x:v>
      </x:c>
      <x:c r="I9" s="17" t="n">
        <x:v>2</x:v>
      </x:c>
      <x:c r="J9" s="17"/>
      <x:c r="K9" s="17" t="str">
        <x:v>C.Dung</x:v>
      </x:c>
      <x:c r="L9" s="17" t="str">
        <x:v>C.Tuyết</x:v>
      </x:c>
      <x:c r="M9" s="17" t="str">
        <x:v>Do CN MK phối dây sai màu, CN xỏ dây không kiểm tra lại.</x:v>
      </x:c>
      <x:c r="N9" s="20"/>
    </x:row>
    <x:row r="10" ht="48" customHeight="1">
      <x:c r="A10" s="17" t="n">
        <x:v>16</x:v>
      </x:c>
      <x:c r="B10" s="17" t="str">
        <x:v>Vấn đề chất lượng trong tháng</x:v>
      </x:c>
      <x:c r="C10" s="17" t="str">
        <x:v>May (MK)</x:v>
      </x:c>
      <x:c r="D10" s="17" t="str">
        <x:v>May khâu (MK)</x:v>
      </x:c>
      <x:c r="E10" s="17" t="str">
        <x:v>FA25-1698</x:v>
      </x:c>
      <x:c r="F10" s="17" t="n">
        <x:v>3</x:v>
      </x:c>
      <x:c r="G10" s="17" t="str">
        <x:v>Sở san sư pen sai group màu</x:v>
      </x:c>
      <x:c r="H10" s="17" t="str">
        <x:v>Sở san sư pen sai group màu</x:v>
      </x:c>
      <x:c r="I10" s="17" t="n">
        <x:v>3</x:v>
      </x:c>
      <x:c r="J10" s="17"/>
      <x:c r="K10" s="17" t="str">
        <x:v>C.Dung</x:v>
      </x:c>
      <x:c r="L10" s="17" t="str">
        <x:v>C.Tuyết</x:v>
      </x:c>
      <x:c r="M10" s="17" t="str">
        <x:v>Do CN MK phối sai, CN may không chú ý kiểm tra group màu.</x:v>
      </x:c>
      <x:c r="N10" s="20"/>
    </x:row>
    <x:row r="11" ht="48" customHeight="1">
      <x:c r="A11" s="17" t="n">
        <x:v>17</x:v>
      </x:c>
      <x:c r="B11" s="17" t="str">
        <x:v>Vấn đề chất lượng trong tháng</x:v>
      </x:c>
      <x:c r="C11" s="17" t="str">
        <x:v>May (MK)</x:v>
      </x:c>
      <x:c r="D11" s="17" t="str">
        <x:v>May khâu (MK)</x:v>
      </x:c>
      <x:c r="E11" s="17" t="str">
        <x:v>FA25-1698</x:v>
      </x:c>
      <x:c r="F11" s="17" t="n">
        <x:v>4</x:v>
      </x:c>
      <x:c r="G11" s="17" t="str">
        <x:v>May MG sai group màu</x:v>
      </x:c>
      <x:c r="H11" s="17" t="str">
        <x:v>May MG sai group màu</x:v>
      </x:c>
      <x:c r="I11" s="17" t="n">
        <x:v>1</x:v>
      </x:c>
      <x:c r="J11" s="17"/>
      <x:c r="K11" s="17" t="str">
        <x:v>C.Dung</x:v>
      </x:c>
      <x:c r="L11" s="17" t="str">
        <x:v>C.Tuyết</x:v>
      </x:c>
      <x:c r="M11" s="17" t="str">
        <x:v>Do CN MK không chú ý STT trên giày =&gt; may sai.</x:v>
      </x:c>
      <x:c r="N11" s="20"/>
    </x:row>
    <x:row r="12" ht="48" customHeight="1">
      <x:c r="A12" s="17" t="n">
        <x:v>18</x:v>
      </x:c>
      <x:c r="B12" s="17" t="str">
        <x:v>Vấn đề chất lượng trong tháng</x:v>
      </x:c>
      <x:c r="C12" s="17" t="str">
        <x:v>May (MK)</x:v>
      </x:c>
      <x:c r="D12" s="17" t="str">
        <x:v>May khâu (MK)</x:v>
      </x:c>
      <x:c r="E12" s="17" t="str">
        <x:v>FA26-1698</x:v>
      </x:c>
      <x:c r="F12" s="17" t="n">
        <x:v>5</x:v>
      </x:c>
      <x:c r="G12" s="17" t="str">
        <x:v>Giày TP chưa đục lỗ dèn khâu</x:v>
      </x:c>
      <x:c r="H12" s="17" t="str">
        <x:v>Giày TP chưa đục lỗ dèn khâu</x:v>
      </x:c>
      <x:c r="I12" s="17" t="n">
        <x:v>1</x:v>
      </x:c>
      <x:c r="J12" s="17"/>
      <x:c r="K12" s="17" t="str">
        <x:v>C.Dung</x:v>
      </x:c>
      <x:c r="L12" s="17" t="str">
        <x:v>C.Tuyết</x:v>
      </x:c>
      <x:c r="M12" s="17"/>
      <x:c r="N12" s="20" t="str">
        <x:v>PPT không ghi rõ nguyên nhân.</x:v>
      </x:c>
    </x:row>
    <x:row r="13" ht="48" customHeight="1">
      <x:c r="A13" s="17" t="n">
        <x:v>19</x:v>
      </x:c>
      <x:c r="B13" s="17" t="str">
        <x:v>Vấn đề chất lượng trong tháng</x:v>
      </x:c>
      <x:c r="C13" s="17" t="str">
        <x:v>May (MK)</x:v>
      </x:c>
      <x:c r="D13" s="17" t="str">
        <x:v>May khâu (MK)</x:v>
      </x:c>
      <x:c r="E13" s="17" t="str">
        <x:v>FA26-1698</x:v>
      </x:c>
      <x:c r="F13" s="17" t="n">
        <x:v>6</x:v>
      </x:c>
      <x:c r="G13" s="17" t="str">
        <x:v>MG không đính sẻ sở</x:v>
      </x:c>
      <x:c r="H13" s="17" t="str">
        <x:v>MG không đính sẻ sở</x:v>
      </x:c>
      <x:c r="I13" s="17" t="n">
        <x:v>1</x:v>
      </x:c>
      <x:c r="J13" s="17"/>
      <x:c r="K13" s="17" t="str">
        <x:v>C.Dung</x:v>
      </x:c>
      <x:c r="L13" s="17" t="str">
        <x:v>C.Tuyết</x:v>
      </x:c>
      <x:c r="M13" s="17" t="str">
        <x:v>Sau khi sửa giày không đưa qua công đoạn đính sẻ sở, đưa thẳng xuống công đoạn sau.</x:v>
      </x:c>
      <x:c r="N13" s="20"/>
    </x:row>
    <x:row r="14" ht="48" customHeight="1">
      <x:c r="A14" s="17" t="n">
        <x:v>20</x:v>
      </x:c>
      <x:c r="B14" s="17" t="str">
        <x:v>Vấn đề chất lượng trong tháng</x:v>
      </x:c>
      <x:c r="C14" s="17" t="str">
        <x:v>May (MK)</x:v>
      </x:c>
      <x:c r="D14" s="17" t="str">
        <x:v>May khâu (MK)</x:v>
      </x:c>
      <x:c r="E14" s="17" t="str">
        <x:v>FA26-1285-1</x:v>
      </x:c>
      <x:c r="F14" s="17" t="n">
        <x:v>7</x:v>
      </x:c>
      <x:c r="G14" s="17" t="str">
        <x:v>May sở san pen logo 1 sai group màu</x:v>
      </x:c>
      <x:c r="H14" s="17" t="str">
        <x:v>May sở san pen logo 1 sai group màu</x:v>
      </x:c>
      <x:c r="I14" s="17" t="n">
        <x:v>1</x:v>
      </x:c>
      <x:c r="J14" s="17"/>
      <x:c r="K14" s="17" t="str">
        <x:v>C.Hoa</x:v>
      </x:c>
      <x:c r="L14" s="17" t="str">
        <x:v>C.Tuyết</x:v>
      </x:c>
      <x:c r="M14" s="17" t="str">
        <x:v>CN MK may sai sẻ sở.</x:v>
      </x:c>
      <x:c r="N14" s="20"/>
    </x:row>
    <x:row r="15" ht="48" customHeight="1">
      <x:c r="A15" s="17" t="n">
        <x:v>22</x:v>
      </x:c>
      <x:c r="B15" s="17" t="str">
        <x:v>Vấn đề chất lượng trong tháng</x:v>
      </x:c>
      <x:c r="C15" s="17" t="str">
        <x:v>Gia công đế (GCĐ)</x:v>
      </x:c>
      <x:c r="D15" s="17" t="str">
        <x:v>Gia công đế (GCĐ)</x:v>
      </x:c>
      <x:c r="E15" s="17" t="str">
        <x:v>FA26-1698</x:v>
      </x:c>
      <x:c r="F15" s="17" t="n">
        <x:v>1</x:v>
      </x:c>
      <x:c r="G15" s="17" t="str">
        <x:v>Hở keo to RS bàn đế &amp; eo ngoài</x:v>
      </x:c>
      <x:c r="H15" s="17" t="str">
        <x:v>Hở keo to RS bàn đế &amp; eo ngoài</x:v>
      </x:c>
      <x:c r="I15" s="17" t="n">
        <x:v>19</x:v>
      </x:c>
      <x:c r="J15" s="17"/>
      <x:c r="K15" s="17" t="str">
        <x:v>A.Long</x:v>
      </x:c>
      <x:c r="L15" s="17" t="str">
        <x:v>A.Nam</x:v>
      </x:c>
      <x:c r="M15" s="17"/>
      <x:c r="N15" s="20" t="str">
        <x:v>PPT không ghi rõ nguyên nhân.</x:v>
      </x:c>
    </x:row>
    <x:row r="16" ht="48" customHeight="1">
      <x:c r="A16" s="17" t="n">
        <x:v>23</x:v>
      </x:c>
      <x:c r="B16" s="17" t="str">
        <x:v>Vấn đề chất lượng trong tháng</x:v>
      </x:c>
      <x:c r="C16" s="17" t="str">
        <x:v>Gia công đế (GCĐ)</x:v>
      </x:c>
      <x:c r="D16" s="17" t="str">
        <x:v>Gia công đế (GCĐ)</x:v>
      </x:c>
      <x:c r="E16" s="17" t="str">
        <x:v>FA25-1698</x:v>
      </x:c>
      <x:c r="F16" s="17" t="n">
        <x:v>2</x:v>
      </x:c>
      <x:c r="G16" s="17" t="str">
        <x:v>Dán TPU sư pen sai group màu</x:v>
      </x:c>
      <x:c r="H16" s="17" t="str">
        <x:v>Dán TPU sư pen sai group màu</x:v>
      </x:c>
      <x:c r="I16" s="17" t="n">
        <x:v>2</x:v>
      </x:c>
      <x:c r="J16" s="17" t="str">
        <x:v>GCĐ 1 / TH 1</x:v>
      </x:c>
      <x:c r="K16" s="17" t="str">
        <x:v>A.Long</x:v>
      </x:c>
      <x:c r="L16" s="17" t="str">
        <x:v>A.Nam</x:v>
      </x:c>
      <x:c r="M16" s="17" t="str">
        <x:v>Do CN trong kho phối TPU sai group màu.</x:v>
      </x:c>
      <x:c r="N16" s="20" t="str">
        <x:v>GCĐ 1 / TH 1 là vị trí/số lượng phát hiện; CB phụ trách trên PPT vẫn là A.Long/A.Nam.</x:v>
      </x:c>
    </x:row>
    <x:row r="17" ht="48" customHeight="1">
      <x:c r="A17" s="17" t="n">
        <x:v>24</x:v>
      </x:c>
      <x:c r="B17" s="17" t="str">
        <x:v>Vấn đề chất lượng trong tháng</x:v>
      </x:c>
      <x:c r="C17" s="17" t="str">
        <x:v>Gia công đế (GCĐ)</x:v>
      </x:c>
      <x:c r="D17" s="17" t="str">
        <x:v>Gia công đế (GCĐ)</x:v>
      </x:c>
      <x:c r="E17" s="17" t="str">
        <x:v>FA26-1285-1</x:v>
      </x:c>
      <x:c r="F17" s="17" t="n">
        <x:v>3</x:v>
      </x:c>
      <x:c r="G17" s="17" t="str">
        <x:v>Dán logo đế sai group màu</x:v>
      </x:c>
      <x:c r="H17" s="17" t="str">
        <x:v>Dán logo đế sai group màu</x:v>
      </x:c>
      <x:c r="I17" s="17" t="n">
        <x:v>1</x:v>
      </x:c>
      <x:c r="J17" s="17"/>
      <x:c r="K17" s="17" t="str">
        <x:v>C.Trang</x:v>
      </x:c>
      <x:c r="L17" s="17" t="str">
        <x:v>A.Nam</x:v>
      </x:c>
      <x:c r="M17" s="17" t="str">
        <x:v>Do CN trong kho phối LOGO đế sai group màu.</x:v>
      </x:c>
      <x:c r="N17" s="20"/>
    </x:row>
    <x:row r="18" ht="48" customHeight="1">
      <x:c r="A18" s="17" t="n">
        <x:v>25</x:v>
      </x:c>
      <x:c r="B18" s="17" t="str">
        <x:v>Vấn đề chất lượng trong tháng</x:v>
      </x:c>
      <x:c r="C18" s="17" t="str">
        <x:v>Gia công đế (GCĐ)</x:v>
      </x:c>
      <x:c r="D18" s="17" t="str">
        <x:v>Gia công đế (GCĐ)</x:v>
      </x:c>
      <x:c r="E18" s="17" t="str">
        <x:v>FA26-1285-1</x:v>
      </x:c>
      <x:c r="F18" s="17" t="n">
        <x:v>4</x:v>
      </x:c>
      <x:c r="G18" s="17" t="str">
        <x:v>Hở keo to đế sơ su trên</x:v>
      </x:c>
      <x:c r="H18" s="17" t="str">
        <x:v>Hở keo to đế sơ su trên</x:v>
      </x:c>
      <x:c r="I18" s="17" t="n">
        <x:v>5</x:v>
      </x:c>
      <x:c r="J18" s="17" t="str">
        <x:v>T8: 2.5 (theo PPT gốc)</x:v>
      </x:c>
      <x:c r="K18" s="17" t="str">
        <x:v>C.Trang</x:v>
      </x:c>
      <x:c r="L18" s="17" t="str">
        <x:v>A.Nam</x:v>
      </x:c>
      <x:c r="M18" s="17"/>
      <x:c r="N18" s="20"/>
    </x:row>
    <x:row r="19" ht="48" customHeight="1">
      <x:c r="A19" s="17" t="n">
        <x:v>25</x:v>
      </x:c>
      <x:c r="B19" s="17" t="str">
        <x:v>Vấn đề chất lượng trong tháng</x:v>
      </x:c>
      <x:c r="C19" s="17" t="str">
        <x:v>Gia công đế (GCĐ)</x:v>
      </x:c>
      <x:c r="D19" s="17" t="str">
        <x:v>Gia công đế (GCĐ)</x:v>
      </x:c>
      <x:c r="E19" s="17" t="str">
        <x:v>FA26-1285-1</x:v>
      </x:c>
      <x:c r="F19" s="17" t="n">
        <x:v>5</x:v>
      </x:c>
      <x:c r="G19" s="17" t="str">
        <x:v>Hở keo PU puck &amp; sơ su</x:v>
      </x:c>
      <x:c r="H19" s="17" t="str">
        <x:v>Hở keo PU puck &amp; sơ su</x:v>
      </x:c>
      <x:c r="I19" s="17" t="n">
        <x:v>36</x:v>
      </x:c>
      <x:c r="J19" s="17" t="str">
        <x:v>T8: 39 (theo PPT gốc)</x:v>
      </x:c>
      <x:c r="K19" s="17" t="str">
        <x:v>C.Trang</x:v>
      </x:c>
      <x:c r="L19" s="17" t="str">
        <x:v>A.Nam</x:v>
      </x:c>
      <x:c r="M19" s="17"/>
      <x:c r="N19" s="20"/>
    </x:row>
    <x:row r="20" ht="48" customHeight="1">
      <x:c r="A20" s="17" t="n">
        <x:v>27</x:v>
      </x:c>
      <x:c r="B20" s="17" t="str">
        <x:v>Vấn đề chất lượng trong tháng</x:v>
      </x:c>
      <x:c r="C20" s="17" t="str">
        <x:v>Thành hình (TH)</x:v>
      </x:c>
      <x:c r="D20" s="17" t="str">
        <x:v>Thành hình (TH)</x:v>
      </x:c>
      <x:c r="E20" s="17" t="str">
        <x:v>FA26-1698</x:v>
      </x:c>
      <x:c r="F20" s="17" t="n">
        <x:v>1</x:v>
      </x:c>
      <x:c r="G20" s="17" t="str">
        <x:v>Giày thành phẩm nhăn gấp lỳ trong</x:v>
      </x:c>
      <x:c r="H20" s="17" t="str">
        <x:v>Giày thành phẩm nhăn gấp lỳ trong</x:v>
      </x:c>
      <x:c r="I20" s="17" t="n">
        <x:v>363</x:v>
      </x:c>
      <x:c r="J20" s="17"/>
      <x:c r="K20" s="17" t="str">
        <x:v>C.Hợi, C.Thuận, C.Bình</x:v>
      </x:c>
      <x:c r="L20" s="17" t="str">
        <x:v>C.Linh, A.Nam</x:v>
      </x:c>
      <x:c r="M20" s="17"/>
      <x:c r="N20" s="20"/>
    </x:row>
    <x:row r="21" ht="48" customHeight="1">
      <x:c r="A21" s="17" t="n">
        <x:v>27</x:v>
      </x:c>
      <x:c r="B21" s="17" t="str">
        <x:v>Vấn đề chất lượng trong tháng</x:v>
      </x:c>
      <x:c r="C21" s="17" t="str">
        <x:v>Thành hình (TH)</x:v>
      </x:c>
      <x:c r="D21" s="17" t="str">
        <x:v>Thành hình (TH)</x:v>
      </x:c>
      <x:c r="E21" s="17" t="str">
        <x:v>FA26-1698</x:v>
      </x:c>
      <x:c r="F21" s="17" t="n">
        <x:v>2</x:v>
      </x:c>
      <x:c r="G21" s="17" t="str">
        <x:v>Hở keo to góc đầu &amp; đuôi mensu</x:v>
      </x:c>
      <x:c r="H21" s="17" t="str">
        <x:v>Hở keo to góc đầu &amp; đuôi mensu</x:v>
      </x:c>
      <x:c r="I21" s="17" t="n">
        <x:v>153</x:v>
      </x:c>
      <x:c r="J21" s="17" t="str">
        <x:v>T8: 6</x:v>
      </x:c>
      <x:c r="K21" s="17" t="str">
        <x:v>C.Hợi, C.Thuận, C.Bình</x:v>
      </x:c>
      <x:c r="L21" s="17" t="str">
        <x:v>C.Linh, A.Nam</x:v>
      </x:c>
      <x:c r="M21" s="17"/>
      <x:c r="N21" s="20"/>
    </x:row>
    <x:row r="22" ht="48" customHeight="1">
      <x:c r="A22" s="17" t="n">
        <x:v>28</x:v>
      </x:c>
      <x:c r="B22" s="17" t="str">
        <x:v>Vấn đề chất lượng trong tháng</x:v>
      </x:c>
      <x:c r="C22" s="17" t="str">
        <x:v>Thành hình (TH)</x:v>
      </x:c>
      <x:c r="D22" s="17" t="str">
        <x:v>Thành hình (TH)</x:v>
      </x:c>
      <x:c r="E22" s="17" t="str">
        <x:v>FA26-1698</x:v>
      </x:c>
      <x:c r="F22" s="17" t="n">
        <x:v>3</x:v>
      </x:c>
      <x:c r="G22" s="17" t="str">
        <x:v>Nhăn lỳ</x:v>
      </x:c>
      <x:c r="H22" s="17" t="str">
        <x:v>Nhăn lỳ</x:v>
      </x:c>
      <x:c r="I22" s="17" t="n">
        <x:v>763</x:v>
      </x:c>
      <x:c r="J22" s="17" t="str">
        <x:v>MK 532 / TH 231</x:v>
      </x:c>
      <x:c r="K22" s="17" t="str">
        <x:v>C.Dung, C.Bình</x:v>
      </x:c>
      <x:c r="L22" s="17" t="str">
        <x:v>C.Tuyết, C.Linh</x:v>
      </x:c>
      <x:c r="M22" s="17"/>
      <x:c r="N22" s="20" t="str">
        <x:v>Liên công đoạn: PPT ghi MK 532 / TH 231; không được quy toàn bộ 763 đôi cho TH.</x:v>
      </x:c>
    </x:row>
    <x:row r="23" ht="48" customHeight="1">
      <x:c r="A23" s="17" t="n">
        <x:v>29</x:v>
      </x:c>
      <x:c r="B23" s="17" t="str">
        <x:v>Vấn đề chất lượng trong tháng</x:v>
      </x:c>
      <x:c r="C23" s="17" t="str">
        <x:v>Thành hình (TH)</x:v>
      </x:c>
      <x:c r="D23" s="17" t="str">
        <x:v>Thành hình (TH)</x:v>
      </x:c>
      <x:c r="E23" s="17" t="str">
        <x:v>FA26-1698</x:v>
      </x:c>
      <x:c r="F23" s="17" t="n">
        <x:v>4</x:v>
      </x:c>
      <x:c r="G23" s="17" t="str">
        <x:v>Giày thành phẩm dán méo mũi</x:v>
      </x:c>
      <x:c r="H23" s="17" t="str">
        <x:v>Giày thành phẩm dán méo mũi</x:v>
      </x:c>
      <x:c r="I23" s="17" t="n">
        <x:v>4</x:v>
      </x:c>
      <x:c r="J23" s="17"/>
      <x:c r="K23" s="17" t="str">
        <x:v>C.Hợi, C.Thuận</x:v>
      </x:c>
      <x:c r="L23" s="17" t="str">
        <x:v>C.Linh, A.Nam</x:v>
      </x:c>
      <x:c r="M23" s="17"/>
      <x:c r="N23" s="20"/>
    </x:row>
    <x:row r="24" ht="48" customHeight="1">
      <x:c r="A24" s="17" t="n">
        <x:v>29</x:v>
      </x:c>
      <x:c r="B24" s="17" t="str">
        <x:v>Vấn đề chất lượng trong tháng</x:v>
      </x:c>
      <x:c r="C24" s="17" t="str">
        <x:v>Thành hình (TH)</x:v>
      </x:c>
      <x:c r="D24" s="17" t="str">
        <x:v>Thành hình (TH)</x:v>
      </x:c>
      <x:c r="E24" s="17" t="str">
        <x:v>FA26-1698</x:v>
      </x:c>
      <x:c r="F24" s="17" t="n">
        <x:v>5</x:v>
      </x:c>
      <x:c r="G24" s="17" t="str">
        <x:v>Giày thành phẩm dán méo gót</x:v>
      </x:c>
      <x:c r="H24" s="17" t="str">
        <x:v>Giày thành phẩm dán méo gót</x:v>
      </x:c>
      <x:c r="I24" s="17" t="n">
        <x:v>5</x:v>
      </x:c>
      <x:c r="J24" s="17"/>
      <x:c r="K24" s="17" t="str">
        <x:v>C.Hợi, C.Thuận</x:v>
      </x:c>
      <x:c r="L24" s="17" t="str">
        <x:v>C.Linh, A.Nam</x:v>
      </x:c>
      <x:c r="M24" s="17"/>
      <x:c r="N24" s="20"/>
    </x:row>
    <x:row r="25" ht="48" customHeight="1">
      <x:c r="A25" s="17" t="n">
        <x:v>29</x:v>
      </x:c>
      <x:c r="B25" s="17" t="str">
        <x:v>Vấn đề chất lượng trong tháng</x:v>
      </x:c>
      <x:c r="C25" s="17" t="str">
        <x:v>Thành hình (TH)</x:v>
      </x:c>
      <x:c r="D25" s="17" t="str">
        <x:v>Thành hình (TH)</x:v>
      </x:c>
      <x:c r="E25" s="17" t="str">
        <x:v>FA26-1698</x:v>
      </x:c>
      <x:c r="F25" s="17" t="n">
        <x:v>6</x:v>
      </x:c>
      <x:c r="G25" s="17" t="str">
        <x:v>Cao thấp gót</x:v>
      </x:c>
      <x:c r="H25" s="17" t="str">
        <x:v>Cao thấp gót</x:v>
      </x:c>
      <x:c r="I25" s="17" t="n">
        <x:v>25</x:v>
      </x:c>
      <x:c r="J25" s="17"/>
      <x:c r="K25" s="17" t="str">
        <x:v>C.Hợi, C.Thuận</x:v>
      </x:c>
      <x:c r="L25" s="17" t="str">
        <x:v>C.Linh, A.Nam</x:v>
      </x:c>
      <x:c r="M25" s="17"/>
      <x:c r="N25" s="20"/>
    </x:row>
    <x:row r="26" ht="48" customHeight="1">
      <x:c r="A26" s="17" t="n">
        <x:v>30</x:v>
      </x:c>
      <x:c r="B26" s="17" t="str">
        <x:v>Vấn đề chất lượng trong tháng</x:v>
      </x:c>
      <x:c r="C26" s="17" t="str">
        <x:v>Thành hình (TH)</x:v>
      </x:c>
      <x:c r="D26" s="17" t="str">
        <x:v>Thành hình (TH)</x:v>
      </x:c>
      <x:c r="E26" s="17" t="str">
        <x:v>FA26-1698</x:v>
      </x:c>
      <x:c r="F26" s="17" t="n">
        <x:v>7</x:v>
      </x:c>
      <x:c r="G26" s="17" t="str">
        <x:v>Vênh đế BBB-1698</x:v>
      </x:c>
      <x:c r="H26" s="17" t="str">
        <x:v>Vênh đế BBB-1698</x:v>
      </x:c>
      <x:c r="I26" s="17" t="n">
        <x:v>200</x:v>
      </x:c>
      <x:c r="J26" s="17" t="str">
        <x:v>T8: 19</x:v>
      </x:c>
      <x:c r="K26" s="17" t="str">
        <x:v>C.Thuận</x:v>
      </x:c>
      <x:c r="L26" s="17" t="str">
        <x:v>C.Linh, A.Nam</x:v>
      </x:c>
      <x:c r="M26" s="17"/>
      <x:c r="N26" s="20"/>
    </x:row>
    <x:row r="27" ht="48" customHeight="1">
      <x:c r="A27" s="17" t="n">
        <x:v>30</x:v>
      </x:c>
      <x:c r="B27" s="17" t="str">
        <x:v>Vấn đề chất lượng trong tháng</x:v>
      </x:c>
      <x:c r="C27" s="17" t="str">
        <x:v>Thành hình (TH)</x:v>
      </x:c>
      <x:c r="D27" s="17" t="str">
        <x:v>Thành hình (TH)</x:v>
      </x:c>
      <x:c r="E27" s="17" t="str">
        <x:v>FA25-1632</x:v>
      </x:c>
      <x:c r="F27" s="17" t="n">
        <x:v>8</x:v>
      </x:c>
      <x:c r="G27" s="17" t="str">
        <x:v>Vênh đế SOB-1632</x:v>
      </x:c>
      <x:c r="H27" s="17" t="str">
        <x:v>Vênh đế SOB-1632</x:v>
      </x:c>
      <x:c r="I27" s="17" t="n">
        <x:v>60</x:v>
      </x:c>
      <x:c r="J27" s="17" t="str">
        <x:v>T3:68 / T4:27 / T7:45 / T8:47</x:v>
      </x:c>
      <x:c r="K27" s="17"/>
      <x:c r="L27" s="17"/>
      <x:c r="M27" s="17"/>
      <x:c r="N27" s="20" t="str">
        <x:v>Trang PPT này không ghi rõ CB phụ trách/cấp cao riêng cho Issue 8; không tự suy đoán.</x:v>
      </x:c>
    </x:row>
    <x:row r="28" ht="48" customHeight="1">
      <x:c r="A28" s="17" t="n">
        <x:v>31</x:v>
      </x:c>
      <x:c r="B28" s="17" t="str">
        <x:v>Vấn đề chất lượng trong tháng</x:v>
      </x:c>
      <x:c r="C28" s="17" t="str">
        <x:v>Thành hình (TH)</x:v>
      </x:c>
      <x:c r="D28" s="17" t="str">
        <x:v>Thành hình (TH)</x:v>
      </x:c>
      <x:c r="E28" s="17" t="str">
        <x:v>FA26-1285-1</x:v>
      </x:c>
      <x:c r="F28" s="17" t="n">
        <x:v>9</x:v>
      </x:c>
      <x:c r="G28" s="17" t="str">
        <x:v>Bung chữ logo NIKE SHOX</x:v>
      </x:c>
      <x:c r="H28" s="17" t="str">
        <x:v>Bung chữ logo NIKE SHOX</x:v>
      </x:c>
      <x:c r="I28" s="17" t="n">
        <x:v>7</x:v>
      </x:c>
      <x:c r="J28" s="17"/>
      <x:c r="K28" s="17" t="str">
        <x:v>C.Bình, C.Nhi</x:v>
      </x:c>
      <x:c r="L28" s="17" t="str">
        <x:v>C.Linh, C.Nhung</x:v>
      </x:c>
      <x:c r="M28" s="17"/>
      <x:c r="N28" s="20"/>
    </x:row>
    <x:row r="29" ht="48" customHeight="1">
      <x:c r="A29" s="17" t="n">
        <x:v>31</x:v>
      </x:c>
      <x:c r="B29" s="17" t="str">
        <x:v>Vấn đề chất lượng trong tháng</x:v>
      </x:c>
      <x:c r="C29" s="17" t="str">
        <x:v>Thành hình (TH)</x:v>
      </x:c>
      <x:c r="D29" s="17" t="str">
        <x:v>Thành hình (TH)</x:v>
      </x:c>
      <x:c r="E29" s="17" t="str">
        <x:v>FA26-1285-1</x:v>
      </x:c>
      <x:c r="F29" s="17" t="n">
        <x:v>10</x:v>
      </x:c>
      <x:c r="G29" s="17" t="str">
        <x:v>Bung sở soang khùng tai</x:v>
      </x:c>
      <x:c r="H29" s="17" t="str">
        <x:v>Bung sở soang khùng tai</x:v>
      </x:c>
      <x:c r="I29" s="17" t="n">
        <x:v>3</x:v>
      </x:c>
      <x:c r="J29" s="17"/>
      <x:c r="K29" s="17" t="str">
        <x:v>C.Bình, C.Nhi</x:v>
      </x:c>
      <x:c r="L29" s="17" t="str">
        <x:v>C.Linh, C.Nhung</x:v>
      </x:c>
      <x:c r="M29" s="17"/>
      <x:c r="N29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22" t="str">
        <x:v>BẢNG SO SÁNH HIỆU SUẤT SẢN XUẤT — 8H</x:v>
      </x:c>
    </x:row>
    <x:row r="3">
      <x:c r="A3" t="str">
        <x:v>Kỳ gốc - từ</x:v>
      </x:c>
      <x:c r="B3" s="2" t="n">
        <x:v>46266</x:v>
      </x:c>
      <x:c r="C3" t="str">
        <x:v>Kỳ gốc - đến</x:v>
      </x:c>
      <x:c r="D3" s="2" t="n">
        <x:v>46295</x:v>
      </x:c>
      <x:c r="E3" t="str">
        <x:v>Kỳ so sánh - từ</x:v>
      </x:c>
      <x:c r="F3" s="2" t="n">
        <x:v>46300</x:v>
      </x:c>
    </x:row>
    <x:row r="4">
      <x:c r="A4" t="str">
        <x:v>Kỳ so sánh - đến</x:v>
      </x:c>
      <x:c r="B4" s="2" t="n">
        <x:v>46308</x:v>
      </x:c>
    </x:row>
    <x:row r="6" ht="28" customHeight="1">
      <x:c r="A6" s="25" t="str">
        <x:v>Chỉ tiêu</x:v>
      </x:c>
      <x:c r="B6" s="25" t="str">
        <x:v>Kỳ gốc</x:v>
      </x:c>
      <x:c r="C6" s="25" t="str">
        <x:v>Kỳ so sánh</x:v>
      </x:c>
      <x:c r="D6" s="25" t="str">
        <x:v>Thay đổi</x:v>
      </x:c>
    </x:row>
    <x:row r="7">
      <x:c r="A7" t="str">
        <x:v>GCĐ SL 8H TB/ngày</x:v>
      </x:c>
      <x:c r="B7" s="4" t="n">
        <x:f>IFERROR(SUMIFS(Master_Daily!$M$2:$M$37,Master_Daily!$A$2:$A$37,"&gt;="&amp;$B$3,Master_Daily!$A$2:$A$37,"&lt;="&amp;$D$3)/COUNTIFS(Master_Daily!$A$2:$A$37,"&gt;="&amp;$B$3,Master_Daily!$A$2:$A$37,"&lt;="&amp;$D$3),0)</x:f>
        <x:v>303.4166666666667</x:v>
      </x:c>
      <x:c r="C7" s="4" t="n">
        <x:f>IFERROR(SUMIFS(Master_Daily!$M$2:$M$37,Master_Daily!$A$2:$A$37,"&gt;="&amp;$F$3,Master_Daily!$A$2:$A$37,"&lt;="&amp;$B$4)/COUNTIFS(Master_Daily!$A$2:$A$37,"&gt;="&amp;$F$3,Master_Daily!$A$2:$A$37,"&lt;="&amp;$B$4),0)</x:f>
        <x:v>320.375</x:v>
      </x:c>
      <x:c r="D7" s="28" t="n">
        <x:f>IFERROR(C7/B7-1,0)</x:f>
        <x:v>0.0558912386706949</x:v>
      </x:c>
    </x:row>
    <x:row r="8">
      <x:c r="A8" t="str">
        <x:v>GCĐ HC TB/ngày</x:v>
      </x:c>
      <x:c r="B8" s="4" t="n">
        <x:f>IFERROR(SUMIFS(Master_Daily!$C$2:$C$37,Master_Daily!$A$2:$A$37,"&gt;="&amp;$B$3,Master_Daily!$A$2:$A$37,"&lt;="&amp;$D$3)/COUNTIFS(Master_Daily!$A$2:$A$37,"&gt;="&amp;$B$3,Master_Daily!$A$2:$A$37,"&lt;="&amp;$D$3),0)</x:f>
        <x:v>53.541666666666664</x:v>
      </x:c>
      <x:c r="C8" s="4" t="n">
        <x:f>IFERROR(SUMIFS(Master_Daily!$C$2:$C$37,Master_Daily!$A$2:$A$37,"&gt;="&amp;$F$3,Master_Daily!$A$2:$A$37,"&lt;="&amp;$B$4)/COUNTIFS(Master_Daily!$A$2:$A$37,"&gt;="&amp;$F$3,Master_Daily!$A$2:$A$37,"&lt;="&amp;$B$4),0)</x:f>
        <x:v>52.75</x:v>
      </x:c>
      <x:c r="D8" s="28" t="n">
        <x:f>IFERROR(C8/B8-1,0)</x:f>
        <x:v>-0.01478599221789878</x:v>
      </x:c>
    </x:row>
    <x:row r="9">
      <x:c r="A9" t="str">
        <x:v>GCĐ Đôi/giờ công</x:v>
      </x:c>
      <x:c r="B9" s="4" t="n">
        <x:f>IFERROR(SUMIFS(Master_Daily!$M$2:$M$37,Master_Daily!$A$2:$A$37,"&gt;="&amp;$B$3,Master_Daily!$A$2:$A$37,"&lt;="&amp;$D$3)/SUMIFS(Master_Daily!$N$2:$N$37,Master_Daily!$A$2:$A$37,"&gt;="&amp;$B$3,Master_Daily!$A$2:$A$37,"&lt;="&amp;$D$3),0)</x:f>
        <x:v>0.7083657587548639</x:v>
      </x:c>
      <x:c r="C9" s="4" t="n">
        <x:f>IFERROR(SUMIFS(Master_Daily!$M$2:$M$37,Master_Daily!$A$2:$A$37,"&gt;="&amp;$F$3,Master_Daily!$A$2:$A$37,"&lt;="&amp;$B$4)/SUMIFS(Master_Daily!$N$2:$N$37,Master_Daily!$A$2:$A$37,"&gt;="&amp;$F$3,Master_Daily!$A$2:$A$37,"&lt;="&amp;$B$4),0)</x:f>
        <x:v>0.7591824644549763</x:v>
      </x:c>
      <x:c r="D9" s="28" t="n">
        <x:f>IFERROR(C9/B9-1,0)</x:f>
        <x:v>0.07173794762388841</x:v>
      </x:c>
    </x:row>
    <x:row r="10">
      <x:c r="A10" t="str">
        <x:v>TH SL 8H TB/ngày</x:v>
      </x:c>
      <x:c r="B10" s="4" t="n">
        <x:f>IFERROR(SUMIFS(Master_Daily!$P$2:$P$37,Master_Daily!$A$2:$A$37,"&gt;="&amp;$B$3,Master_Daily!$A$2:$A$37,"&lt;="&amp;$D$3)/COUNTIFS(Master_Daily!$A$2:$A$37,"&gt;="&amp;$B$3,Master_Daily!$A$2:$A$37,"&lt;="&amp;$D$3),0)</x:f>
        <x:v>361.2916666666667</x:v>
      </x:c>
      <x:c r="C10" s="4" t="n">
        <x:f>IFERROR(SUMIFS(Master_Daily!$P$2:$P$37,Master_Daily!$A$2:$A$37,"&gt;="&amp;$F$3,Master_Daily!$A$2:$A$37,"&lt;="&amp;$B$4)/COUNTIFS(Master_Daily!$A$2:$A$37,"&gt;="&amp;$F$3,Master_Daily!$A$2:$A$37,"&lt;="&amp;$B$4),0)</x:f>
        <x:v>362.5</x:v>
      </x:c>
      <x:c r="D10" s="28" t="n">
        <x:f>IFERROR(C10/B10-1,0)</x:f>
        <x:v>0.0033444816053511683</x:v>
      </x:c>
    </x:row>
    <x:row r="11">
      <x:c r="A11" t="str">
        <x:v>TH HC TB/ngày</x:v>
      </x:c>
      <x:c r="B11" s="4" t="n">
        <x:f>IFERROR(SUMIFS(Master_Daily!$H$2:$H$37,Master_Daily!$A$2:$A$37,"&gt;="&amp;$B$3,Master_Daily!$A$2:$A$37,"&lt;="&amp;$D$3)/COUNTIFS(Master_Daily!$A$2:$A$37,"&gt;="&amp;$B$3,Master_Daily!$A$2:$A$37,"&lt;="&amp;$D$3),0)</x:f>
        <x:v>80.66666666666667</x:v>
      </x:c>
      <x:c r="C11" s="4" t="n">
        <x:f>IFERROR(SUMIFS(Master_Daily!$H$2:$H$37,Master_Daily!$A$2:$A$37,"&gt;="&amp;$F$3,Master_Daily!$A$2:$A$37,"&lt;="&amp;$B$4)/COUNTIFS(Master_Daily!$A$2:$A$37,"&gt;="&amp;$F$3,Master_Daily!$A$2:$A$37,"&lt;="&amp;$B$4),0)</x:f>
        <x:v>82.5</x:v>
      </x:c>
      <x:c r="D11" s="28" t="n">
        <x:f>IFERROR(C11/B11-1,0)</x:f>
        <x:v>0.022727272727272707</x:v>
      </x:c>
    </x:row>
    <x:row r="12">
      <x:c r="A12" t="str">
        <x:v>TH Đôi/giờ công</x:v>
      </x:c>
      <x:c r="B12" s="4" t="n">
        <x:f>IFERROR(SUMIFS(Master_Daily!$P$2:$P$37,Master_Daily!$A$2:$A$37,"&gt;="&amp;$B$3,Master_Daily!$A$2:$A$37,"&lt;="&amp;$D$3)/SUMIFS(Master_Daily!$Q$2:$Q$37,Master_Daily!$A$2:$A$37,"&gt;="&amp;$B$3,Master_Daily!$A$2:$A$37,"&lt;="&amp;$D$3),0)</x:f>
        <x:v>0.5598527892561983</x:v>
      </x:c>
      <x:c r="C12" s="4" t="n">
        <x:f>IFERROR(SUMIFS(Master_Daily!$P$2:$P$37,Master_Daily!$A$2:$A$37,"&gt;="&amp;$F$3,Master_Daily!$A$2:$A$37,"&lt;="&amp;$B$4)/SUMIFS(Master_Daily!$Q$2:$Q$37,Master_Daily!$A$2:$A$37,"&gt;="&amp;$F$3,Master_Daily!$A$2:$A$37,"&lt;="&amp;$B$4),0)</x:f>
        <x:v>0.5492424242424242</x:v>
      </x:c>
      <x:c r="D12" s="28" t="n">
        <x:f>IFERROR(C12/B12-1,0)</x:f>
        <x:v>-0.018952062430323324</x:v>
      </x:c>
    </x:row>
    <x:row r="15" ht="30" customHeight="1">
      <x:c r="A15" s="30" t="str">
        <x:v>LƯU Ý: GCĐ và TH là hai công đoạn liên tiếp, không cộng hai sản lượng để tính số đôi thành phẩm.</x:v>
      </x:c>
      <x:c r="B15" s="30"/>
      <x:c r="C15" s="30"/>
      <x:c r="D15" s="30"/>
      <x:c r="E15" s="30"/>
      <x:c r="F15" s="30"/>
      <x:c r="G15" s="30"/>
      <x:c r="H15" s="30"/>
    </x:row>
    <x:row r="16" ht="30" customHeight="1">
      <x:c r="A16" s="30" t="str">
        <x:v>Với BBB-1698 hai lượt (Pass 1/Pass 2), chỉ số này là sản lượng hoàn thành, không phải hiệu suất thao tác thực tế từng lượt.</x:v>
      </x:c>
      <x:c r="B16" s="30"/>
      <x:c r="C16" s="30"/>
      <x:c r="D16" s="30"/>
      <x:c r="E16" s="30"/>
      <x:c r="F16" s="30"/>
      <x:c r="G16" s="30"/>
      <x:c r="H16" s="30"/>
    </x:row>
    <x:row r="17" ht="30" customHeight="1">
      <x:c r="A17" s="30" t="str">
        <x:v>Dữ liệu OT bằng 0 nhưng thiếu HC OT cần xác nhận; không tự kết luận đã loại bỏ tăng ca.</x:v>
      </x:c>
      <x:c r="B17" s="30"/>
      <x:c r="C17" s="30"/>
      <x:c r="D17" s="30"/>
      <x:c r="E17" s="30"/>
      <x:c r="F17" s="30"/>
      <x:c r="G17" s="30"/>
      <x:c r="H17" s="30"/>
    </x:row>
  </x:sheetData>
  <x:mergeCells>
    <x:mergeCell ref="A1:H1"/>
    <x:mergeCell ref="A15:H15"/>
    <x:mergeCell ref="A16:H16"/>
    <x:mergeCell ref="A17:H17"/>
  </x:mergeCells>
  <x:conditionalFormatting sqref="D7:D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32" t="str">
        <x:v>HƯỚNG DẪN SỬ DỤNG — FACTORY PRODUCTION INTELLIGENCE</x:v>
      </x:c>
    </x:row>
    <x:row r="3">
      <x:c r="A3" s="25" t="str">
        <x:v>Mục</x:v>
      </x:c>
      <x:c r="B3" s="25" t="str">
        <x:v>Hướng dẫn</x:v>
      </x:c>
    </x:row>
    <x:row r="4" ht="36" customHeight="1">
      <x:c r="A4" t="str">
        <x:v>Master_Daily</x:v>
      </x:c>
      <x:c r="B4" s="16" t="str">
        <x:v>Dữ liệu sản lượng, nhân lực, OT theo từng ngày; các cột M–S tính hiệu suất 8H.</x:v>
      </x:c>
    </x:row>
    <x:row r="5" ht="36" customHeight="1">
      <x:c r="A5" t="str">
        <x:v>Model_Data</x:v>
      </x:c>
      <x:c r="B5" s="16" t="str">
        <x:v>Sản lượng theo mã giày; HC dùng chung nên không thể tính hiệu suất theo mã riêng.</x:v>
      </x:c>
    </x:row>
    <x:row r="6" ht="36" customHeight="1">
      <x:c r="A6" t="str">
        <x:v>Quality_Issues</x:v>
      </x:c>
      <x:c r="B6" s="16" t="str">
        <x:v>28 vấn đề chất lượng tháng 9 theo PPT, giữ nguyên trang, CB trực tiếp/cấp cao và ghi chú trách nhiệm.</x:v>
      </x:c>
    </x:row>
    <x:row r="7" ht="36" customHeight="1">
      <x:c r="A7" t="str">
        <x:v>So_sanh</x:v>
      </x:c>
      <x:c r="B7" s="16" t="str">
        <x:v>Thay đổi ngày ở ô B3, D3, F3, B4 để so sánh hiệu suất hai kỳ.</x:v>
      </x:c>
    </x:row>
    <x:row r="8" ht="36" customHeight="1">
      <x:c r="A8" t="str">
        <x:v>Nguồn dữ liệu</x:v>
      </x:c>
      <x:c r="B8" s="16" t="str">
        <x:v>Factory_Production_Intelligence_Excel_v1.xlsx (dữ liệu đến 13/10/2026).</x:v>
      </x:c>
    </x:row>
    <x:row r="9" ht="36" customHeight="1">
      <x:c r="A9" t="str">
        <x:v>Kiểm tra dữ liệu</x:v>
      </x:c>
      <x:c r="B9" s="16" t="str">
        <x:v>Dữ liệu OT tháng 10 có nhiều ngày ghi 0 nhưng không có HC OT, cần xác nhận trước khi kết luận.</x:v>
      </x:c>
    </x:row>
    <x:row r="10" ht="36" customHeight="1">
      <x:c r="A10" t="str">
        <x:v>Công khai</x:v>
      </x:c>
      <x:c r="B10" s="16" t="str">
        <x:v>Nếu tải lên GitHub Pages công khai, dữ liệu và tên cán bộ trong tệp có thể được người khác truy cập.</x:v>
      </x:c>
    </x:row>
  </x:sheetData>
  <x:mergeCells>
    <x:mergeCell ref="A1:F1"/>
  </x:mergeCells>
  <x:pageMargins left="0.7" right="0.7" top="0.75" bottom="0.75" header="0.3" footer="0.3"/>
</x:worksheet>
</file>